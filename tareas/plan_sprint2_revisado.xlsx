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700cd2ebb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4ea5a506ea74124"/>
    <x:sheet xmlns:r="http://schemas.openxmlformats.org/officeDocument/2006/relationships" name="Sprint 2" sheetId="2" r:id="R0e5cb50659044ab6"/>
    <x:sheet xmlns:r="http://schemas.openxmlformats.org/officeDocument/2006/relationships" name="Importar YouTrack" sheetId="3" r:id="R470f3965b50f4df9"/>
    <x:sheet xmlns:r="http://schemas.openxmlformats.org/officeDocument/2006/relationships" name="Revisión original" sheetId="4" r:id="R35e8830eee3a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8">
    <x:font>
      <x:sz val="11"/>
      <x:name val="Carlito"/>
    </x:font>
    <x:font>
      <x:b/>
      <x:sz val="10"/>
      <x:color rgb="FFFFFFFF"/>
      <x:name val="Arial"/>
    </x:font>
    <x:font>
      <x:sz val="10"/>
      <x:color rgb="FF263441"/>
      <x:name val="Arial"/>
    </x:font>
    <x:font>
      <x:b/>
      <x:sz val="15"/>
      <x:color rgb="FF25467C"/>
      <x:name val="Arial"/>
    </x:font>
    <x:font>
      <x:i/>
      <x:sz val="10"/>
      <x:color rgb="FF516578"/>
      <x:name val="Arial"/>
    </x:font>
    <x:font>
      <x:b/>
      <x:sz val="12"/>
      <x:color rgb="FF365F91"/>
      <x:name val="Arial"/>
    </x:font>
    <x:font>
      <x:sz val="10"/>
      <x:color rgb="FF7E5B11"/>
      <x:name val="Arial"/>
    </x:font>
    <x:font>
      <x:sz val="10"/>
      <x:color rgb="FF5165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7C"/>
      </x:patternFill>
    </x:fill>
    <x:fill>
      <x:patternFill patternType="solid">
        <x:fgColor rgb="FFFFF1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0" fillId="3" borderId="0" xfId="0" applyNumberFormat="1" applyFont="1" applyFill="1" applyBorder="1"/>
    <x:xf numFmtId="0" fontId="7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A12626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f2856156f4b9f" /><Relationship Type="http://schemas.openxmlformats.org/officeDocument/2006/relationships/theme" Target="/xl/theme/theme1.xml" Id="R3b082bcc3f2745e4" /><Relationship Type="http://schemas.openxmlformats.org/officeDocument/2006/relationships/sharedStrings" Target="/xl/sharedStrings.xml" Id="R70f87733fbf143fe" /><Relationship Type="http://schemas.openxmlformats.org/officeDocument/2006/relationships/worksheet" Target="/xl/worksheets/sheet1.xml" Id="R54ea5a506ea74124" /><Relationship Type="http://schemas.openxmlformats.org/officeDocument/2006/relationships/worksheet" Target="/xl/worksheets/sheet2.xml" Id="R0e5cb50659044ab6" /><Relationship Type="http://schemas.openxmlformats.org/officeDocument/2006/relationships/worksheet" Target="/xl/worksheets/sheet3.xml" Id="R470f3965b50f4df9" /><Relationship Type="http://schemas.openxmlformats.org/officeDocument/2006/relationships/worksheet" Target="/xl/worksheets/sheet4.xml" Id="R35e8830eee3a4d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67C"/>
  </x:sheetPr>
  <x:sheetViews>
    <x:sheetView showGridLines="0" workbookViewId="0"/>
  </x:sheetViews>
  <x:sheetFormatPr defaultRowHeight="15"/>
  <x:cols>
    <x:col min="1" max="1" width="37" hidden="0" customWidth="1"/>
    <x:col min="2" max="2" width="82" hidden="0" customWidth="1"/>
    <x:col min="3" max="3" width="23" hidden="0" customWidth="1"/>
    <x:col min="4" max="4" width="82" hidden="0" customWidth="1"/>
    <x:col min="5" max="5" width="17" hidden="0" customWidth="1"/>
    <x:col min="6" max="6" width="17" hidden="0" customWidth="1"/>
    <x:col min="7" max="7" width="19" hidden="0" customWidth="1"/>
  </x:cols>
  <x:sheetData>
    <x:row r="2">
      <x:c r="A2" s="17" t="str">
        <x:v>Sprint 2: alcance y capacidad revisados</x:v>
      </x:c>
      <x:c r="B2" s="18"/>
      <x:c r="C2" s="18"/>
      <x:c r="D2" s="18"/>
      <x:c r="E2" s="18"/>
      <x:c r="F2" s="18"/>
      <x:c r="G2" s="18"/>
    </x:row>
    <x:row r="3">
      <x:c r="A3" s="19" t="str">
        <x:v>120 horas disponibles: seis personas × cinco horas × cuatro semanas. Plan con simuladores para hardware.</x:v>
      </x:c>
      <x:c r="B3" s="18"/>
      <x:c r="C3" s="18"/>
      <x:c r="D3" s="18"/>
      <x:c r="E3" s="18"/>
      <x:c r="F3" s="18"/>
      <x:c r="G3" s="18"/>
    </x:row>
    <x:row r="4">
      <x:c r="A4" s="18"/>
      <x:c r="B4" s="18"/>
      <x:c r="C4" s="18"/>
      <x:c r="D4" s="18"/>
      <x:c r="E4" s="18"/>
      <x:c r="F4" s="18"/>
      <x:c r="G4" s="18"/>
    </x:row>
    <x:row r="5" ht="29" customHeight="1">
      <x:c r="A5" s="4" t="str">
        <x:v>Meta</x:v>
      </x:c>
      <x:c r="B5" s="4" t="str">
        <x:v>Resultado planificado</x:v>
      </x:c>
      <x:c r="C5" s="4" t="str">
        <x:v>Horas asignadas</x:v>
      </x:c>
      <x:c r="D5" s="4" t="str">
        <x:v>Condición de cierre</x:v>
      </x:c>
      <x:c r="E5" s="18"/>
      <x:c r="F5" s="18"/>
      <x:c r="G5" s="18"/>
    </x:row>
    <x:row r="6" ht="49" customHeight="1">
      <x:c r="A6" s="6" t="str">
        <x:v>G1: Página Administración</x:v>
      </x:c>
      <x:c r="B6" s="7" t="str">
        <x:v>Edición y baja lógica de usuarios; productos y configuración funcional.</x:v>
      </x:c>
      <x:c r="C6" s="24" t="n">
        <x:f>SUMIFS('Sprint 2'!$Q$2:$Q$121,'Sprint 2'!$K$2:$K$121,"G1: Página Administración")/60</x:f>
        <x:v>15</x:v>
      </x:c>
      <x:c r="D6" s="7" t="str">
        <x:v>Backend y UI pasan tests y TypeScript.</x:v>
      </x:c>
      <x:c r="E6" s="18"/>
      <x:c r="F6" s="18"/>
      <x:c r="G6" s="18"/>
    </x:row>
    <x:row r="7" ht="49" customHeight="1">
      <x:c r="A7" s="6" t="str">
        <x:v>G2: Carrito y venta funcional</x:v>
      </x:c>
      <x:c r="B7" s="7" t="str">
        <x:v>Carrito persistido en MS-5, efectivo, IVA real, Kafka recuperable y anulación total.</x:v>
      </x:c>
      <x:c r="C7" s="24" t="n">
        <x:f>SUMIFS('Sprint 2'!$Q$2:$Q$121,'Sprint 2'!$K$2:$K$121,"G2: Carrito y venta funcional")/60</x:f>
        <x:v>30</x:v>
      </x:c>
      <x:c r="D7" s="7" t="str">
        <x:v>E2E de turno a venta y stock sin pérdida ni datos cruzados.</x:v>
      </x:c>
      <x:c r="E7" s="18"/>
      <x:c r="F7" s="18"/>
      <x:c r="G7" s="18"/>
    </x:row>
    <x:row r="8" ht="49" customHeight="1">
      <x:c r="A8" s="6" t="str">
        <x:v>G3: Cobro con tarjeta</x:v>
      </x:c>
      <x:c r="B8" s="7" t="str">
        <x:v>Autorización, rechazo e idempotencia vía pasarela simulada.</x:v>
      </x:c>
      <x:c r="C8" s="24" t="n">
        <x:f>SUMIFS('Sprint 2'!$Q$2:$Q$121,'Sprint 2'!$K$2:$K$121,"G3: Cobro con tarjeta simulado")/60</x:f>
        <x:v>25</x:v>
      </x:c>
      <x:c r="D8" s="7" t="str">
        <x:v>RN-02 cumplida en simulación; no hay cargo real ni datos de tarjeta locales.</x:v>
      </x:c>
      <x:c r="E8" s="18"/>
      <x:c r="F8" s="18"/>
      <x:c r="G8" s="18"/>
    </x:row>
    <x:row r="9" ht="49" customHeight="1">
      <x:c r="A9" s="6" t="str">
        <x:v>G4: Balanza física</x:v>
      </x:c>
      <x:c r="B9" s="7" t="str">
        <x:v>Lectura por adaptador simulado y entrada manual; backend de peso variable.</x:v>
      </x:c>
      <x:c r="C9" s="24" t="n">
        <x:f>SUMIFS('Sprint 2'!$Q$2:$Q$121,'Sprint 2'!$K$2:$K$121,"G4: Balanza con simulador")/60</x:f>
        <x:v>20</x:v>
      </x:c>
      <x:c r="D9" s="7" t="str">
        <x:v>Prueba con balanza física queda condicionada a modelo, protocolo y equipo.</x:v>
      </x:c>
      <x:c r="E9" s="18"/>
      <x:c r="F9" s="18"/>
      <x:c r="G9" s="18"/>
    </x:row>
    <x:row r="10" ht="49" customHeight="1">
      <x:c r="A10" s="6" t="str">
        <x:v>G5: Terminal POS</x:v>
      </x:c>
      <x:c r="B10" s="7" t="str">
        <x:v>Terminal de pago simulado en Electron, coordinado con MS-5 y la pasarela.</x:v>
      </x:c>
      <x:c r="C10" s="24" t="n">
        <x:f>SUMIFS('Sprint 2'!$Q$2:$Q$121,'Sprint 2'!$K$2:$K$121,"G5: Terminal POS con simulador")/60</x:f>
        <x:v>15</x:v>
      </x:c>
      <x:c r="D10" s="7" t="str">
        <x:v>Prueba con terminal físico queda condicionada a modelo, protocolo y equipo.</x:v>
      </x:c>
      <x:c r="E10" s="18"/>
      <x:c r="F10" s="18"/>
      <x:c r="G10" s="18"/>
    </x:row>
    <x:row r="11" ht="49" customHeight="1">
      <x:c r="A11" s="6" t="str">
        <x:v>H: Salud técnica</x:v>
      </x:c>
      <x:c r="B11" s="7" t="str">
        <x:v>Rutas Kong, CI, tests, documentación y despliegue reproducible.</x:v>
      </x:c>
      <x:c r="C11" s="24" t="n">
        <x:f>SUMIFS('Sprint 2'!$Q$2:$Q$121,'Sprint 2'!$K$2:$K$121,"H: Salud técnica del sprint")/60</x:f>
        <x:v>15</x:v>
      </x:c>
      <x:c r="D11" s="7" t="str">
        <x:v>DoD verificable; módulos de sprints posteriores siguen en backlog.</x:v>
      </x:c>
      <x:c r="E11" s="18"/>
      <x:c r="F11" s="18"/>
      <x:c r="G11" s="18"/>
    </x:row>
    <x:row r="12">
      <x:c r="A12" s="18"/>
      <x:c r="B12" s="18"/>
      <x:c r="C12" s="18"/>
      <x:c r="D12" s="18"/>
      <x:c r="E12" s="18"/>
      <x:c r="F12" s="18"/>
      <x:c r="G12" s="18"/>
    </x:row>
    <x:row r="13" ht="29" customHeight="1">
      <x:c r="A13" s="4" t="str">
        <x:v>Semana</x:v>
      </x:c>
      <x:c r="B13" s="4" t="str">
        <x:v>Persona</x:v>
      </x:c>
      <x:c r="C13" s="4" t="str">
        <x:v>Asignado</x:v>
      </x:c>
      <x:c r="D13" s="4" t="str">
        <x:v>Minutos plan</x:v>
      </x:c>
      <x:c r="E13" s="4" t="str">
        <x:v>Horas plan</x:v>
      </x:c>
      <x:c r="F13" s="4" t="str">
        <x:v>Meta semanal</x:v>
      </x:c>
      <x:c r="G13" s="4" t="str">
        <x:v>Diferencia min</x:v>
      </x:c>
    </x:row>
    <x:row r="14" ht="23" customHeight="1">
      <x:c r="A14" s="6" t="str">
        <x:v>Semana 5</x:v>
      </x:c>
      <x:c r="B14" s="6" t="str">
        <x:v>Sebastián</x:v>
      </x:c>
      <x:c r="C14" s="6" t="str">
        <x:v>spereda2024</x:v>
      </x:c>
      <x:c r="D14" s="8" t="n">
        <x:f>SUMIFS('Sprint 2'!$Q$2:$Q$121,'Sprint 2'!$F$2:$F$121,A14,'Sprint 2'!$C$2:$C$121,C14)</x:f>
        <x:v>300</x:v>
      </x:c>
      <x:c r="E14" s="8" t="n">
        <x:f>D14/60</x:f>
        <x:v>5</x:v>
      </x:c>
      <x:c r="F14" s="8" t="n">
        <x:v>5</x:v>
      </x:c>
      <x:c r="G14" s="8" t="n">
        <x:f>D14-F14*60</x:f>
        <x:v>0</x:v>
      </x:c>
    </x:row>
    <x:row r="15" ht="23" customHeight="1">
      <x:c r="A15" s="6" t="str">
        <x:v>Semana 5</x:v>
      </x:c>
      <x:c r="B15" s="6" t="str">
        <x:v>Nicolás</x:v>
      </x:c>
      <x:c r="C15" s="6" t="str">
        <x:v>nmartinez2024</x:v>
      </x:c>
      <x:c r="D15" s="8" t="n">
        <x:f>SUMIFS('Sprint 2'!$Q$2:$Q$121,'Sprint 2'!$F$2:$F$121,A15,'Sprint 2'!$C$2:$C$121,C15)</x:f>
        <x:v>300</x:v>
      </x:c>
      <x:c r="E15" s="8" t="n">
        <x:f>D15/60</x:f>
        <x:v>5</x:v>
      </x:c>
      <x:c r="F15" s="8" t="n">
        <x:v>5</x:v>
      </x:c>
      <x:c r="G15" s="8" t="n">
        <x:f>D15-F15*60</x:f>
        <x:v>0</x:v>
      </x:c>
    </x:row>
    <x:row r="16" ht="23" customHeight="1">
      <x:c r="A16" s="6" t="str">
        <x:v>Semana 5</x:v>
      </x:c>
      <x:c r="B16" s="6" t="str">
        <x:v>Martín</x:v>
      </x:c>
      <x:c r="C16" s="6" t="str">
        <x:v>msanhueza2024</x:v>
      </x:c>
      <x:c r="D16" s="8" t="n">
        <x:f>SUMIFS('Sprint 2'!$Q$2:$Q$121,'Sprint 2'!$F$2:$F$121,A16,'Sprint 2'!$C$2:$C$121,C16)</x:f>
        <x:v>300</x:v>
      </x:c>
      <x:c r="E16" s="8" t="n">
        <x:f>D16/60</x:f>
        <x:v>5</x:v>
      </x:c>
      <x:c r="F16" s="8" t="n">
        <x:v>5</x:v>
      </x:c>
      <x:c r="G16" s="8" t="n">
        <x:f>D16-F16*60</x:f>
        <x:v>0</x:v>
      </x:c>
    </x:row>
    <x:row r="17" ht="23" customHeight="1">
      <x:c r="A17" s="6" t="str">
        <x:v>Semana 5</x:v>
      </x:c>
      <x:c r="B17" s="6" t="str">
        <x:v>Rodrigo</x:v>
      </x:c>
      <x:c r="C17" s="6" t="str">
        <x:v>admin</x:v>
      </x:c>
      <x:c r="D17" s="8" t="n">
        <x:f>SUMIFS('Sprint 2'!$Q$2:$Q$121,'Sprint 2'!$F$2:$F$121,A17,'Sprint 2'!$C$2:$C$121,C17)</x:f>
        <x:v>300</x:v>
      </x:c>
      <x:c r="E17" s="8" t="n">
        <x:f>D17/60</x:f>
        <x:v>5</x:v>
      </x:c>
      <x:c r="F17" s="8" t="n">
        <x:v>5</x:v>
      </x:c>
      <x:c r="G17" s="8" t="n">
        <x:f>D17-F17*60</x:f>
        <x:v>0</x:v>
      </x:c>
    </x:row>
    <x:row r="18" ht="23" customHeight="1">
      <x:c r="A18" s="6" t="str">
        <x:v>Semana 5</x:v>
      </x:c>
      <x:c r="B18" s="6" t="str">
        <x:v>Daniel</x:v>
      </x:c>
      <x:c r="C18" s="6" t="str">
        <x:v>dprado2024</x:v>
      </x:c>
      <x:c r="D18" s="8" t="n">
        <x:f>SUMIFS('Sprint 2'!$Q$2:$Q$121,'Sprint 2'!$F$2:$F$121,A18,'Sprint 2'!$C$2:$C$121,C18)</x:f>
        <x:v>300</x:v>
      </x:c>
      <x:c r="E18" s="8" t="n">
        <x:f>D18/60</x:f>
        <x:v>5</x:v>
      </x:c>
      <x:c r="F18" s="8" t="n">
        <x:v>5</x:v>
      </x:c>
      <x:c r="G18" s="8" t="n">
        <x:f>D18-F18*60</x:f>
        <x:v>0</x:v>
      </x:c>
    </x:row>
    <x:row r="19" ht="23" customHeight="1">
      <x:c r="A19" s="6" t="str">
        <x:v>Semana 5</x:v>
      </x:c>
      <x:c r="B19" s="6" t="str">
        <x:v>Diego</x:v>
      </x:c>
      <x:c r="C19" s="6" t="str">
        <x:v>dleiva2024</x:v>
      </x:c>
      <x:c r="D19" s="8" t="n">
        <x:f>SUMIFS('Sprint 2'!$Q$2:$Q$121,'Sprint 2'!$F$2:$F$121,A19,'Sprint 2'!$C$2:$C$121,C19)</x:f>
        <x:v>300</x:v>
      </x:c>
      <x:c r="E19" s="8" t="n">
        <x:f>D19/60</x:f>
        <x:v>5</x:v>
      </x:c>
      <x:c r="F19" s="8" t="n">
        <x:v>5</x:v>
      </x:c>
      <x:c r="G19" s="8" t="n">
        <x:f>D19-F19*60</x:f>
        <x:v>0</x:v>
      </x:c>
    </x:row>
    <x:row r="20" ht="23" customHeight="1">
      <x:c r="A20" s="6" t="str">
        <x:v>Semana 6</x:v>
      </x:c>
      <x:c r="B20" s="6" t="str">
        <x:v>Sebastián</x:v>
      </x:c>
      <x:c r="C20" s="6" t="str">
        <x:v>spereda2024</x:v>
      </x:c>
      <x:c r="D20" s="8" t="n">
        <x:f>SUMIFS('Sprint 2'!$Q$2:$Q$121,'Sprint 2'!$F$2:$F$121,A20,'Sprint 2'!$C$2:$C$121,C20)</x:f>
        <x:v>300</x:v>
      </x:c>
      <x:c r="E20" s="8" t="n">
        <x:f>D20/60</x:f>
        <x:v>5</x:v>
      </x:c>
      <x:c r="F20" s="8" t="n">
        <x:v>5</x:v>
      </x:c>
      <x:c r="G20" s="8" t="n">
        <x:f>D20-F20*60</x:f>
        <x:v>0</x:v>
      </x:c>
    </x:row>
    <x:row r="21" ht="23" customHeight="1">
      <x:c r="A21" s="6" t="str">
        <x:v>Semana 6</x:v>
      </x:c>
      <x:c r="B21" s="6" t="str">
        <x:v>Nicolás</x:v>
      </x:c>
      <x:c r="C21" s="6" t="str">
        <x:v>nmartinez2024</x:v>
      </x:c>
      <x:c r="D21" s="8" t="n">
        <x:f>SUMIFS('Sprint 2'!$Q$2:$Q$121,'Sprint 2'!$F$2:$F$121,A21,'Sprint 2'!$C$2:$C$121,C21)</x:f>
        <x:v>300</x:v>
      </x:c>
      <x:c r="E21" s="8" t="n">
        <x:f>D21/60</x:f>
        <x:v>5</x:v>
      </x:c>
      <x:c r="F21" s="8" t="n">
        <x:v>5</x:v>
      </x:c>
      <x:c r="G21" s="8" t="n">
        <x:f>D21-F21*60</x:f>
        <x:v>0</x:v>
      </x:c>
    </x:row>
    <x:row r="22" ht="23" customHeight="1">
      <x:c r="A22" s="6" t="str">
        <x:v>Semana 6</x:v>
      </x:c>
      <x:c r="B22" s="6" t="str">
        <x:v>Martín</x:v>
      </x:c>
      <x:c r="C22" s="6" t="str">
        <x:v>msanhueza2024</x:v>
      </x:c>
      <x:c r="D22" s="8" t="n">
        <x:f>SUMIFS('Sprint 2'!$Q$2:$Q$121,'Sprint 2'!$F$2:$F$121,A22,'Sprint 2'!$C$2:$C$121,C22)</x:f>
        <x:v>300</x:v>
      </x:c>
      <x:c r="E22" s="8" t="n">
        <x:f>D22/60</x:f>
        <x:v>5</x:v>
      </x:c>
      <x:c r="F22" s="8" t="n">
        <x:v>5</x:v>
      </x:c>
      <x:c r="G22" s="8" t="n">
        <x:f>D22-F22*60</x:f>
        <x:v>0</x:v>
      </x:c>
    </x:row>
    <x:row r="23" ht="23" customHeight="1">
      <x:c r="A23" s="6" t="str">
        <x:v>Semana 6</x:v>
      </x:c>
      <x:c r="B23" s="6" t="str">
        <x:v>Rodrigo</x:v>
      </x:c>
      <x:c r="C23" s="6" t="str">
        <x:v>admin</x:v>
      </x:c>
      <x:c r="D23" s="8" t="n">
        <x:f>SUMIFS('Sprint 2'!$Q$2:$Q$121,'Sprint 2'!$F$2:$F$121,A23,'Sprint 2'!$C$2:$C$121,C23)</x:f>
        <x:v>300</x:v>
      </x:c>
      <x:c r="E23" s="8" t="n">
        <x:f>D23/60</x:f>
        <x:v>5</x:v>
      </x:c>
      <x:c r="F23" s="8" t="n">
        <x:v>5</x:v>
      </x:c>
      <x:c r="G23" s="8" t="n">
        <x:f>D23-F23*60</x:f>
        <x:v>0</x:v>
      </x:c>
    </x:row>
    <x:row r="24" ht="23" customHeight="1">
      <x:c r="A24" s="6" t="str">
        <x:v>Semana 6</x:v>
      </x:c>
      <x:c r="B24" s="6" t="str">
        <x:v>Daniel</x:v>
      </x:c>
      <x:c r="C24" s="6" t="str">
        <x:v>dprado2024</x:v>
      </x:c>
      <x:c r="D24" s="8" t="n">
        <x:f>SUMIFS('Sprint 2'!$Q$2:$Q$121,'Sprint 2'!$F$2:$F$121,A24,'Sprint 2'!$C$2:$C$121,C24)</x:f>
        <x:v>300</x:v>
      </x:c>
      <x:c r="E24" s="8" t="n">
        <x:f>D24/60</x:f>
        <x:v>5</x:v>
      </x:c>
      <x:c r="F24" s="8" t="n">
        <x:v>5</x:v>
      </x:c>
      <x:c r="G24" s="8" t="n">
        <x:f>D24-F24*60</x:f>
        <x:v>0</x:v>
      </x:c>
    </x:row>
    <x:row r="25" ht="23" customHeight="1">
      <x:c r="A25" s="6" t="str">
        <x:v>Semana 6</x:v>
      </x:c>
      <x:c r="B25" s="6" t="str">
        <x:v>Diego</x:v>
      </x:c>
      <x:c r="C25" s="6" t="str">
        <x:v>dleiva2024</x:v>
      </x:c>
      <x:c r="D25" s="8" t="n">
        <x:f>SUMIFS('Sprint 2'!$Q$2:$Q$121,'Sprint 2'!$F$2:$F$121,A25,'Sprint 2'!$C$2:$C$121,C25)</x:f>
        <x:v>300</x:v>
      </x:c>
      <x:c r="E25" s="8" t="n">
        <x:f>D25/60</x:f>
        <x:v>5</x:v>
      </x:c>
      <x:c r="F25" s="8" t="n">
        <x:v>5</x:v>
      </x:c>
      <x:c r="G25" s="8" t="n">
        <x:f>D25-F25*60</x:f>
        <x:v>0</x:v>
      </x:c>
    </x:row>
    <x:row r="26" ht="23" customHeight="1">
      <x:c r="A26" s="6" t="str">
        <x:v>Semana 7</x:v>
      </x:c>
      <x:c r="B26" s="6" t="str">
        <x:v>Sebastián</x:v>
      </x:c>
      <x:c r="C26" s="6" t="str">
        <x:v>spereda2024</x:v>
      </x:c>
      <x:c r="D26" s="8" t="n">
        <x:f>SUMIFS('Sprint 2'!$Q$2:$Q$121,'Sprint 2'!$F$2:$F$121,A26,'Sprint 2'!$C$2:$C$121,C26)</x:f>
        <x:v>300</x:v>
      </x:c>
      <x:c r="E26" s="8" t="n">
        <x:f>D26/60</x:f>
        <x:v>5</x:v>
      </x:c>
      <x:c r="F26" s="8" t="n">
        <x:v>5</x:v>
      </x:c>
      <x:c r="G26" s="8" t="n">
        <x:f>D26-F26*60</x:f>
        <x:v>0</x:v>
      </x:c>
    </x:row>
    <x:row r="27" ht="23" customHeight="1">
      <x:c r="A27" s="6" t="str">
        <x:v>Semana 7</x:v>
      </x:c>
      <x:c r="B27" s="6" t="str">
        <x:v>Nicolás</x:v>
      </x:c>
      <x:c r="C27" s="6" t="str">
        <x:v>nmartinez2024</x:v>
      </x:c>
      <x:c r="D27" s="8" t="n">
        <x:f>SUMIFS('Sprint 2'!$Q$2:$Q$121,'Sprint 2'!$F$2:$F$121,A27,'Sprint 2'!$C$2:$C$121,C27)</x:f>
        <x:v>300</x:v>
      </x:c>
      <x:c r="E27" s="8" t="n">
        <x:f>D27/60</x:f>
        <x:v>5</x:v>
      </x:c>
      <x:c r="F27" s="8" t="n">
        <x:v>5</x:v>
      </x:c>
      <x:c r="G27" s="8" t="n">
        <x:f>D27-F27*60</x:f>
        <x:v>0</x:v>
      </x:c>
    </x:row>
    <x:row r="28" ht="23" customHeight="1">
      <x:c r="A28" s="6" t="str">
        <x:v>Semana 7</x:v>
      </x:c>
      <x:c r="B28" s="6" t="str">
        <x:v>Martín</x:v>
      </x:c>
      <x:c r="C28" s="6" t="str">
        <x:v>msanhueza2024</x:v>
      </x:c>
      <x:c r="D28" s="8" t="n">
        <x:f>SUMIFS('Sprint 2'!$Q$2:$Q$121,'Sprint 2'!$F$2:$F$121,A28,'Sprint 2'!$C$2:$C$121,C28)</x:f>
        <x:v>300</x:v>
      </x:c>
      <x:c r="E28" s="8" t="n">
        <x:f>D28/60</x:f>
        <x:v>5</x:v>
      </x:c>
      <x:c r="F28" s="8" t="n">
        <x:v>5</x:v>
      </x:c>
      <x:c r="G28" s="8" t="n">
        <x:f>D28-F28*60</x:f>
        <x:v>0</x:v>
      </x:c>
    </x:row>
    <x:row r="29" ht="23" customHeight="1">
      <x:c r="A29" s="6" t="str">
        <x:v>Semana 7</x:v>
      </x:c>
      <x:c r="B29" s="6" t="str">
        <x:v>Rodrigo</x:v>
      </x:c>
      <x:c r="C29" s="6" t="str">
        <x:v>admin</x:v>
      </x:c>
      <x:c r="D29" s="8" t="n">
        <x:f>SUMIFS('Sprint 2'!$Q$2:$Q$121,'Sprint 2'!$F$2:$F$121,A29,'Sprint 2'!$C$2:$C$121,C29)</x:f>
        <x:v>300</x:v>
      </x:c>
      <x:c r="E29" s="8" t="n">
        <x:f>D29/60</x:f>
        <x:v>5</x:v>
      </x:c>
      <x:c r="F29" s="8" t="n">
        <x:v>5</x:v>
      </x:c>
      <x:c r="G29" s="8" t="n">
        <x:f>D29-F29*60</x:f>
        <x:v>0</x:v>
      </x:c>
    </x:row>
    <x:row r="30" ht="23" customHeight="1">
      <x:c r="A30" s="6" t="str">
        <x:v>Semana 7</x:v>
      </x:c>
      <x:c r="B30" s="6" t="str">
        <x:v>Daniel</x:v>
      </x:c>
      <x:c r="C30" s="6" t="str">
        <x:v>dprado2024</x:v>
      </x:c>
      <x:c r="D30" s="8" t="n">
        <x:f>SUMIFS('Sprint 2'!$Q$2:$Q$121,'Sprint 2'!$F$2:$F$121,A30,'Sprint 2'!$C$2:$C$121,C30)</x:f>
        <x:v>300</x:v>
      </x:c>
      <x:c r="E30" s="8" t="n">
        <x:f>D30/60</x:f>
        <x:v>5</x:v>
      </x:c>
      <x:c r="F30" s="8" t="n">
        <x:v>5</x:v>
      </x:c>
      <x:c r="G30" s="8" t="n">
        <x:f>D30-F30*60</x:f>
        <x:v>0</x:v>
      </x:c>
    </x:row>
    <x:row r="31" ht="23" customHeight="1">
      <x:c r="A31" s="6" t="str">
        <x:v>Semana 7</x:v>
      </x:c>
      <x:c r="B31" s="6" t="str">
        <x:v>Diego</x:v>
      </x:c>
      <x:c r="C31" s="6" t="str">
        <x:v>dleiva2024</x:v>
      </x:c>
      <x:c r="D31" s="8" t="n">
        <x:f>SUMIFS('Sprint 2'!$Q$2:$Q$121,'Sprint 2'!$F$2:$F$121,A31,'Sprint 2'!$C$2:$C$121,C31)</x:f>
        <x:v>300</x:v>
      </x:c>
      <x:c r="E31" s="8" t="n">
        <x:f>D31/60</x:f>
        <x:v>5</x:v>
      </x:c>
      <x:c r="F31" s="8" t="n">
        <x:v>5</x:v>
      </x:c>
      <x:c r="G31" s="8" t="n">
        <x:f>D31-F31*60</x:f>
        <x:v>0</x:v>
      </x:c>
    </x:row>
    <x:row r="32" ht="23" customHeight="1">
      <x:c r="A32" s="6" t="str">
        <x:v>Semana 8</x:v>
      </x:c>
      <x:c r="B32" s="6" t="str">
        <x:v>Sebastián</x:v>
      </x:c>
      <x:c r="C32" s="6" t="str">
        <x:v>spereda2024</x:v>
      </x:c>
      <x:c r="D32" s="8" t="n">
        <x:f>SUMIFS('Sprint 2'!$Q$2:$Q$121,'Sprint 2'!$F$2:$F$121,A32,'Sprint 2'!$C$2:$C$121,C32)</x:f>
        <x:v>300</x:v>
      </x:c>
      <x:c r="E32" s="8" t="n">
        <x:f>D32/60</x:f>
        <x:v>5</x:v>
      </x:c>
      <x:c r="F32" s="8" t="n">
        <x:v>5</x:v>
      </x:c>
      <x:c r="G32" s="8" t="n">
        <x:f>D32-F32*60</x:f>
        <x:v>0</x:v>
      </x:c>
    </x:row>
    <x:row r="33" ht="23" customHeight="1">
      <x:c r="A33" s="6" t="str">
        <x:v>Semana 8</x:v>
      </x:c>
      <x:c r="B33" s="6" t="str">
        <x:v>Nicolás</x:v>
      </x:c>
      <x:c r="C33" s="6" t="str">
        <x:v>nmartinez2024</x:v>
      </x:c>
      <x:c r="D33" s="8" t="n">
        <x:f>SUMIFS('Sprint 2'!$Q$2:$Q$121,'Sprint 2'!$F$2:$F$121,A33,'Sprint 2'!$C$2:$C$121,C33)</x:f>
        <x:v>300</x:v>
      </x:c>
      <x:c r="E33" s="8" t="n">
        <x:f>D33/60</x:f>
        <x:v>5</x:v>
      </x:c>
      <x:c r="F33" s="8" t="n">
        <x:v>5</x:v>
      </x:c>
      <x:c r="G33" s="8" t="n">
        <x:f>D33-F33*60</x:f>
        <x:v>0</x:v>
      </x:c>
    </x:row>
    <x:row r="34" ht="23" customHeight="1">
      <x:c r="A34" s="6" t="str">
        <x:v>Semana 8</x:v>
      </x:c>
      <x:c r="B34" s="6" t="str">
        <x:v>Martín</x:v>
      </x:c>
      <x:c r="C34" s="6" t="str">
        <x:v>msanhueza2024</x:v>
      </x:c>
      <x:c r="D34" s="8" t="n">
        <x:f>SUMIFS('Sprint 2'!$Q$2:$Q$121,'Sprint 2'!$F$2:$F$121,A34,'Sprint 2'!$C$2:$C$121,C34)</x:f>
        <x:v>300</x:v>
      </x:c>
      <x:c r="E34" s="8" t="n">
        <x:f>D34/60</x:f>
        <x:v>5</x:v>
      </x:c>
      <x:c r="F34" s="8" t="n">
        <x:v>5</x:v>
      </x:c>
      <x:c r="G34" s="8" t="n">
        <x:f>D34-F34*60</x:f>
        <x:v>0</x:v>
      </x:c>
    </x:row>
    <x:row r="35" ht="23" customHeight="1">
      <x:c r="A35" s="6" t="str">
        <x:v>Semana 8</x:v>
      </x:c>
      <x:c r="B35" s="6" t="str">
        <x:v>Rodrigo</x:v>
      </x:c>
      <x:c r="C35" s="6" t="str">
        <x:v>admin</x:v>
      </x:c>
      <x:c r="D35" s="8" t="n">
        <x:f>SUMIFS('Sprint 2'!$Q$2:$Q$121,'Sprint 2'!$F$2:$F$121,A35,'Sprint 2'!$C$2:$C$121,C35)</x:f>
        <x:v>300</x:v>
      </x:c>
      <x:c r="E35" s="8" t="n">
        <x:f>D35/60</x:f>
        <x:v>5</x:v>
      </x:c>
      <x:c r="F35" s="8" t="n">
        <x:v>5</x:v>
      </x:c>
      <x:c r="G35" s="8" t="n">
        <x:f>D35-F35*60</x:f>
        <x:v>0</x:v>
      </x:c>
    </x:row>
    <x:row r="36" ht="23" customHeight="1">
      <x:c r="A36" s="6" t="str">
        <x:v>Semana 8</x:v>
      </x:c>
      <x:c r="B36" s="6" t="str">
        <x:v>Daniel</x:v>
      </x:c>
      <x:c r="C36" s="6" t="str">
        <x:v>dprado2024</x:v>
      </x:c>
      <x:c r="D36" s="8" t="n">
        <x:f>SUMIFS('Sprint 2'!$Q$2:$Q$121,'Sprint 2'!$F$2:$F$121,A36,'Sprint 2'!$C$2:$C$121,C36)</x:f>
        <x:v>300</x:v>
      </x:c>
      <x:c r="E36" s="8" t="n">
        <x:f>D36/60</x:f>
        <x:v>5</x:v>
      </x:c>
      <x:c r="F36" s="8" t="n">
        <x:v>5</x:v>
      </x:c>
      <x:c r="G36" s="8" t="n">
        <x:f>D36-F36*60</x:f>
        <x:v>0</x:v>
      </x:c>
    </x:row>
    <x:row r="37" ht="23" customHeight="1">
      <x:c r="A37" s="6" t="str">
        <x:v>Semana 8</x:v>
      </x:c>
      <x:c r="B37" s="6" t="str">
        <x:v>Diego</x:v>
      </x:c>
      <x:c r="C37" s="6" t="str">
        <x:v>dleiva2024</x:v>
      </x:c>
      <x:c r="D37" s="8" t="n">
        <x:f>SUMIFS('Sprint 2'!$Q$2:$Q$121,'Sprint 2'!$F$2:$F$121,A37,'Sprint 2'!$C$2:$C$121,C37)</x:f>
        <x:v>300</x:v>
      </x:c>
      <x:c r="E37" s="8" t="n">
        <x:f>D37/60</x:f>
        <x:v>5</x:v>
      </x:c>
      <x:c r="F37" s="8" t="n">
        <x:v>5</x:v>
      </x:c>
      <x:c r="G37" s="8" t="n">
        <x:f>D37-F37*60</x:f>
        <x:v>0</x:v>
      </x:c>
    </x:row>
    <x:row r="38">
      <x:c r="A38" s="18"/>
      <x:c r="B38" s="18"/>
      <x:c r="C38" s="18"/>
      <x:c r="D38" s="18"/>
      <x:c r="E38" s="18"/>
      <x:c r="F38" s="18"/>
      <x:c r="G38" s="18"/>
    </x:row>
    <x:row r="39" ht="29" customHeight="1">
      <x:c r="A39" s="4" t="str">
        <x:v>Control</x:v>
      </x:c>
      <x:c r="B39" s="4" t="str">
        <x:v>Resultado</x:v>
      </x:c>
      <x:c r="C39" s="18"/>
      <x:c r="D39" s="18"/>
      <x:c r="E39" s="18"/>
      <x:c r="F39" s="18"/>
      <x:c r="G39" s="18"/>
    </x:row>
    <x:row r="40">
      <x:c r="A40" s="6" t="str">
        <x:v>Tareas nuevas</x:v>
      </x:c>
      <x:c r="B40" s="6" t="n">
        <x:f>COUNTA('Sprint 2'!$I$2:$I$121)</x:f>
        <x:v>120</x:v>
      </x:c>
      <x:c r="C40" s="18"/>
      <x:c r="D40" s="18"/>
      <x:c r="E40" s="18"/>
      <x:c r="F40" s="18"/>
      <x:c r="G40" s="18"/>
    </x:row>
    <x:row r="41">
      <x:c r="A41" s="6" t="str">
        <x:v>Horas nuevas</x:v>
      </x:c>
      <x:c r="B41" s="6" t="n">
        <x:f>SUM('Sprint 2'!$Q$2:$Q$121)/60</x:f>
        <x:v>120</x:v>
      </x:c>
      <x:c r="C41" s="18"/>
      <x:c r="D41" s="18"/>
      <x:c r="E41" s="18"/>
      <x:c r="F41" s="18"/>
      <x:c r="G41" s="18"/>
    </x:row>
    <x:row r="42">
      <x:c r="A42" s="6" t="str">
        <x:v>Horas fuente original</x:v>
      </x:c>
      <x:c r="B42" s="6" t="n">
        <x:v>120</x:v>
      </x:c>
      <x:c r="C42" s="18"/>
      <x:c r="D42" s="18"/>
      <x:c r="E42" s="18"/>
      <x:c r="F42" s="18"/>
      <x:c r="G42" s="18"/>
    </x:row>
    <x:row r="43">
      <x:c r="A43" s="6" t="str">
        <x:v>Duración mínima (min)</x:v>
      </x:c>
      <x:c r="B43" s="6" t="n">
        <x:f>MIN('Sprint 2'!$Q$2:$Q$121)</x:f>
        <x:v>30</x:v>
      </x:c>
      <x:c r="C43" s="18"/>
      <x:c r="D43" s="18"/>
      <x:c r="E43" s="18"/>
      <x:c r="F43" s="18"/>
      <x:c r="G43" s="18"/>
    </x:row>
    <x:row r="44">
      <x:c r="A44" s="6" t="str">
        <x:v>Duración máxima (min)</x:v>
      </x:c>
      <x:c r="B44" s="6" t="n">
        <x:f>MAX('Sprint 2'!$Q$2:$Q$121)</x:f>
        <x:v>90</x:v>
      </x:c>
      <x:c r="C44" s="18"/>
      <x:c r="D44" s="18"/>
      <x:c r="E44" s="18"/>
      <x:c r="F44" s="18"/>
      <x:c r="G44" s="18"/>
    </x:row>
    <x:row r="45">
      <x:c r="A45" s="6" t="str">
        <x:v>Desvío semanal total (min)</x:v>
      </x:c>
      <x:c r="B45" s="6" t="n">
        <x:f>SUM(G14:G37)</x:f>
        <x:v>0</x:v>
      </x:c>
      <x:c r="C45" s="18"/>
      <x:c r="D45" s="18"/>
      <x:c r="E45" s="18"/>
      <x:c r="F45" s="18"/>
      <x:c r="G45" s="18"/>
    </x:row>
    <x:row r="46">
      <x:c r="A46" s="18"/>
      <x:c r="B46" s="18"/>
      <x:c r="C46" s="18"/>
      <x:c r="D46" s="18"/>
      <x:c r="E46" s="18"/>
      <x:c r="F46" s="18"/>
      <x:c r="G46" s="18"/>
    </x:row>
    <x:row r="47">
      <x:c r="A47" s="20" t="str">
        <x:v>Revisión del plan original</x:v>
      </x:c>
      <x:c r="B47" s="18"/>
      <x:c r="C47" s="18"/>
      <x:c r="D47" s="18"/>
      <x:c r="E47" s="18"/>
      <x:c r="F47" s="18"/>
      <x:c r="G47" s="18"/>
    </x:row>
    <x:row r="48" ht="29" customHeight="1">
      <x:c r="A48" s="4" t="str">
        <x:v>Estado</x:v>
      </x:c>
      <x:c r="B48" s="4" t="str">
        <x:v>Cantidad</x:v>
      </x:c>
      <x:c r="C48" s="4" t="str">
        <x:v>Acción</x:v>
      </x:c>
      <x:c r="D48" s="18"/>
      <x:c r="E48" s="18"/>
      <x:c r="F48" s="18"/>
      <x:c r="G48" s="18"/>
    </x:row>
    <x:row r="49">
      <x:c r="A49" s="6" t="str">
        <x:v>Implementada en código</x:v>
      </x:c>
      <x:c r="B49" s="6" t="n">
        <x:f>COUNTIFS('Revisión original'!$F$2:$F$160,A49)</x:f>
        <x:v>27</x:v>
      </x:c>
      <x:c r="C49" s="6" t="str">
        <x:v>No consumir horas de Sprint 2</x:v>
      </x:c>
      <x:c r="D49" s="18"/>
      <x:c r="E49" s="18"/>
      <x:c r="F49" s="18"/>
      <x:c r="G49" s="18"/>
    </x:row>
    <x:row r="50">
      <x:c r="A50" s="6" t="str">
        <x:v>Parcial</x:v>
      </x:c>
      <x:c r="B50" s="6" t="n">
        <x:f>COUNTIFS('Revisión original'!$F$2:$F$160,A50)</x:f>
        <x:v>7</x:v>
      </x:c>
      <x:c r="C50" s="6" t="str">
        <x:v>Completar en tareas nuevas</x:v>
      </x:c>
      <x:c r="D50" s="18"/>
      <x:c r="E50" s="18"/>
      <x:c r="F50" s="18"/>
      <x:c r="G50" s="18"/>
    </x:row>
    <x:row r="51">
      <x:c r="A51" s="6" t="str">
        <x:v>No verificada</x:v>
      </x:c>
      <x:c r="B51" s="6" t="n">
        <x:f>COUNTIFS('Revisión original'!$F$2:$F$160,A51)</x:f>
        <x:v>12</x:v>
      </x:c>
      <x:c r="C51" s="6" t="str">
        <x:v>Pedir evidencia antes de cerrar</x:v>
      </x:c>
      <x:c r="D51" s="18"/>
      <x:c r="E51" s="18"/>
      <x:c r="F51" s="18"/>
      <x:c r="G51" s="18"/>
    </x:row>
    <x:row r="52">
      <x:c r="A52" s="6" t="str">
        <x:v>Pendiente y alineada</x:v>
      </x:c>
      <x:c r="B52" s="6" t="n">
        <x:f>COUNTIFS('Revisión original'!$F$2:$F$160,A52)</x:f>
        <x:v>18</x:v>
      </x:c>
      <x:c r="C52" s="6" t="str">
        <x:v>Replanificada con detalle</x:v>
      </x:c>
      <x:c r="D52" s="18"/>
      <x:c r="E52" s="18"/>
      <x:c r="F52" s="18"/>
      <x:c r="G52" s="18"/>
    </x:row>
    <x:row r="53">
      <x:c r="A53" s="6" t="str">
        <x:v>Reformular</x:v>
      </x:c>
      <x:c r="B53" s="6" t="n">
        <x:f>COUNTIFS('Revisión original'!$F$2:$F$160,A53)</x:f>
        <x:v>12</x:v>
      </x:c>
      <x:c r="C53" s="6" t="str">
        <x:v>Reemplazada por alcance verificable</x:v>
      </x:c>
      <x:c r="D53" s="18"/>
      <x:c r="E53" s="18"/>
      <x:c r="F53" s="18"/>
      <x:c r="G53" s="18"/>
    </x:row>
    <x:row r="54">
      <x:c r="A54" s="6" t="str">
        <x:v>Fuera del alcance Sprint 2</x:v>
      </x:c>
      <x:c r="B54" s="6" t="n">
        <x:f>COUNTIFS('Revisión original'!$F$2:$F$160,A54)</x:f>
        <x:v>83</x:v>
      </x:c>
      <x:c r="C54" s="6" t="str">
        <x:v>Mantener en backlog posterior</x:v>
      </x:c>
      <x:c r="D54" s="18"/>
      <x:c r="E54" s="18"/>
      <x:c r="F54" s="18"/>
      <x:c r="G54" s="18"/>
    </x:row>
    <x:row r="55">
      <x:c r="A55" s="18"/>
      <x:c r="B55" s="18"/>
      <x:c r="C55" s="18"/>
      <x:c r="D55" s="18"/>
      <x:c r="E55" s="18"/>
      <x:c r="F55" s="18"/>
      <x:c r="G55" s="18"/>
    </x:row>
    <x:row r="56">
      <x:c r="A56" s="20" t="str">
        <x:v>Condición explícita</x:v>
      </x:c>
      <x:c r="B56" s="18"/>
      <x:c r="C56" s="18"/>
      <x:c r="D56" s="18"/>
      <x:c r="E56" s="18"/>
      <x:c r="F56" s="18"/>
      <x:c r="G56" s="18"/>
    </x:row>
    <x:row r="57">
      <x:c r="A57" s="21" t="str">
        <x:v>La meta física de balanza y terminal no puede certificarse sin dispositivos, modelos y protocolos. El sprint entrega simuladores y contratos reemplazables.</x:v>
      </x:c>
      <x:c r="B57" s="22"/>
      <x:c r="C57" s="22"/>
      <x:c r="D57" s="22"/>
      <x:c r="E57" s="18"/>
      <x:c r="F57" s="18"/>
      <x:c r="G57" s="18"/>
    </x:row>
    <x:row r="58">
      <x:c r="A58" s="23" t="str">
        <x:v>No se incluyen DTE, FEFO, compras, dashboards, devoluciones parciales ni pagos mixtos: consumían la capacidad original y pertenecen al backlog posterior.</x:v>
      </x:c>
      <x:c r="B58" s="18"/>
      <x:c r="C58" s="18"/>
      <x:c r="D58" s="18"/>
      <x:c r="E58" s="18"/>
      <x:c r="F58" s="18"/>
      <x:c r="G58" s="18"/>
    </x:row>
    <x:row r="59">
      <x:c r="A59" s="21" t="str">
        <x:v>Factibilidad: el plan usa las 120 h completas, sin reserva. Los estimados de 30–90 min son unidades de entrega; si un Must supera lo previsto, se reemplazan primero Should/Could.</x:v>
      </x:c>
      <x:c r="B59" s="22"/>
      <x:c r="C59" s="22"/>
      <x:c r="D59" s="22"/>
      <x:c r="E59" s="18"/>
      <x:c r="F59" s="18"/>
      <x:c r="G59" s="18"/>
    </x:row>
    <x:row r="60">
      <x:c r="A60" s="23" t="str">
        <x:v>Carga a YouTrack: el script existente convierte Markdown a CSV y no lee XLSX. La hoja Importar YouTrack contiene las nueve columnas esperadas para exportar a CSV.</x:v>
      </x:c>
      <x:c r="B60" s="18"/>
      <x:c r="C60" s="18"/>
      <x:c r="D60" s="18"/>
      <x:c r="E60" s="18"/>
      <x:c r="F60" s="18"/>
      <x:c r="G60" s="18"/>
    </x:row>
  </x:sheetData>
  <x:conditionalFormatting sqref="G14:G37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79A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5" hidden="0" customWidth="1"/>
    <x:col min="2" max="2" width="83" hidden="0" customWidth="1"/>
    <x:col min="3" max="3" width="20" hidden="0" customWidth="1"/>
    <x:col min="4" max="4" width="12" hidden="0" customWidth="1"/>
    <x:col min="5" max="5" width="12" hidden="0" customWidth="1"/>
    <x:col min="6" max="6" width="13" hidden="0" customWidth="1"/>
    <x:col min="7" max="7" width="18" hidden="0" customWidth="1"/>
    <x:col min="8" max="8" width="13" hidden="0" customWidth="1"/>
    <x:col min="9" max="9" width="12" hidden="0" customWidth="1"/>
    <x:col min="10" max="10" width="16" hidden="0" customWidth="1"/>
    <x:col min="11" max="11" width="36" hidden="0" customWidth="1"/>
    <x:col min="12" max="12" width="13" hidden="0" customWidth="1"/>
    <x:col min="13" max="13" width="14" hidden="0" customWidth="1"/>
    <x:col min="14" max="14" width="55" hidden="0" customWidth="1"/>
    <x:col min="15" max="15" width="55" hidden="0" customWidth="1"/>
    <x:col min="16" max="16" width="55" hidden="0" customWidth="1"/>
    <x:col min="17" max="17" width="12" hidden="0" customWidth="1"/>
    <x:col min="18" max="18" width="15" hidden="0" customWidth="1"/>
  </x:cols>
  <x:sheetData>
    <x:row r="1" ht="29" customHeight="1">
      <x:c r="A1" s="4" t="str">
        <x:v>Tarea</x:v>
      </x:c>
      <x:c r="B1" s="4" t="str">
        <x:v>Descripción</x:v>
      </x:c>
      <x:c r="C1" s="4" t="str">
        <x:v>Asignado</x:v>
      </x:c>
      <x:c r="D1" s="4" t="str">
        <x:v>Prioridad</x:v>
      </x:c>
      <x:c r="E1" s="4" t="str">
        <x:v>Sprint</x:v>
      </x:c>
      <x:c r="F1" s="4" t="str">
        <x:v>Semana</x:v>
      </x:c>
      <x:c r="G1" s="4" t="str">
        <x:v>Área de Trabajo</x:v>
      </x:c>
      <x:c r="H1" s="4" t="str">
        <x:v>Estimación</x:v>
      </x:c>
      <x:c r="I1" s="4" t="str">
        <x:v>ID</x:v>
      </x:c>
      <x:c r="J1" s="4" t="str">
        <x:v>Persona</x:v>
      </x:c>
      <x:c r="K1" s="4" t="str">
        <x:v>Meta</x:v>
      </x:c>
      <x:c r="L1" s="4" t="str">
        <x:v>MoSCoW</x:v>
      </x:c>
      <x:c r="M1" s="4" t="str">
        <x:v>Dificultad</x:v>
      </x:c>
      <x:c r="N1" s="4" t="str">
        <x:v>Entregable</x:v>
      </x:c>
      <x:c r="O1" s="4" t="str">
        <x:v>Criterio de aceptación</x:v>
      </x:c>
      <x:c r="P1" s="4" t="str">
        <x:v>Hallazgo</x:v>
      </x:c>
      <x:c r="Q1" s="4" t="str">
        <x:v>Minutos</x:v>
      </x:c>
      <x:c r="R1" s="4" t="str">
        <x:v>Estado</x:v>
      </x:c>
    </x:row>
    <x:row r="2" ht="82" customHeight="1">
      <x:c r="A2" s="7" t="str">
        <x:v>Fijar contrato de creación de venta</x:v>
      </x:c>
      <x:c r="B2" s="7" t="str">
        <x:v>Objetivo: Definir qué campos acepta el cliente y cuáles calcula MS-5: producto, cantidad, precio, IVA y sucursal.
Entrega verificable: Contrato de request y respuesta revisado con ejemplos de venta unitaria y a peso.
Aceptación: Ningún precio o impuesto aportado por el renderer se considera autoridad.
Prioridad MoSCoW: Must. Dificultad: Baja. Meta: Carrito y venta funcional.
Hallazgo o necesidad: La creación de venta acepta precios del request y usa IVA inicial cero.</x:v>
      </x:c>
      <x:c r="C2" s="6" t="str">
        <x:v>spereda2024</x:v>
      </x:c>
      <x:c r="D2" s="6" t="str">
        <x:v>Facil</x:v>
      </x:c>
      <x:c r="E2" s="6" t="str">
        <x:v>Sprint 2</x:v>
      </x:c>
      <x:c r="F2" s="6" t="str">
        <x:v>Semana 5</x:v>
      </x:c>
      <x:c r="G2" s="6" t="str">
        <x:v>Backend</x:v>
      </x:c>
      <x:c r="H2" s="6" t="str">
        <x:v>30m</x:v>
      </x:c>
      <x:c r="I2" s="6" t="str">
        <x:v>S2-001</x:v>
      </x:c>
      <x:c r="J2" s="6" t="str">
        <x:v>Sebastián</x:v>
      </x:c>
      <x:c r="K2" s="6" t="str">
        <x:v>G2: Carrito y venta funcional</x:v>
      </x:c>
      <x:c r="L2" s="6" t="str">
        <x:v>Must</x:v>
      </x:c>
      <x:c r="M2" s="6" t="str">
        <x:v>Baja</x:v>
      </x:c>
      <x:c r="N2" s="7" t="str">
        <x:v>Contrato de request y respuesta revisado con ejemplos de venta unitaria y a peso.</x:v>
      </x:c>
      <x:c r="O2" s="7" t="str">
        <x:v>Ningún precio o impuesto aportado por el renderer se considera autoridad.</x:v>
      </x:c>
      <x:c r="P2" s="7" t="str">
        <x:v>La creación de venta acepta precios del request y usa IVA inicial cero.</x:v>
      </x:c>
      <x:c r="Q2" s="8" t="n">
        <x:v>30</x:v>
      </x:c>
      <x:c r="R2" s="6" t="str">
        <x:v>Planificada</x:v>
      </x:c>
    </x:row>
    <x:row r="3" ht="82" customHeight="1">
      <x:c r="A3" s="7" t="str">
        <x:v>Resolver productos desde MS-3 al crear venta</x:v>
      </x:c>
      <x:c r="B3" s="7" t="str">
        <x:v>Objetivo: Consultar catálogo para cada producto recibido y rechazar productos inexistentes, inactivos o ajenos al tenant.
Entrega verificable: Crear venta usando precio y nombre devueltos por MS-3.
Aceptación: Un producto inválido produce error sin persistir venta ni ítems.
Prioridad MoSCoW: Must. Dificultad: Media. Meta: Carrito y venta funcional.
Hallazgo o necesidad: La creación de venta acepta precios del request y usa IVA inicial cero.</x:v>
      </x:c>
      <x:c r="C3" s="6" t="str">
        <x:v>spereda2024</x:v>
      </x:c>
      <x:c r="D3" s="6" t="str">
        <x:v>Medio</x:v>
      </x:c>
      <x:c r="E3" s="6" t="str">
        <x:v>Sprint 2</x:v>
      </x:c>
      <x:c r="F3" s="6" t="str">
        <x:v>Semana 5</x:v>
      </x:c>
      <x:c r="G3" s="6" t="str">
        <x:v>Backend</x:v>
      </x:c>
      <x:c r="H3" s="6" t="str">
        <x:v>1h</x:v>
      </x:c>
      <x:c r="I3" s="6" t="str">
        <x:v>S2-002</x:v>
      </x:c>
      <x:c r="J3" s="6" t="str">
        <x:v>Sebastián</x:v>
      </x:c>
      <x:c r="K3" s="6" t="str">
        <x:v>G2: Carrito y venta funcional</x:v>
      </x:c>
      <x:c r="L3" s="6" t="str">
        <x:v>Must</x:v>
      </x:c>
      <x:c r="M3" s="6" t="str">
        <x:v>Media</x:v>
      </x:c>
      <x:c r="N3" s="7" t="str">
        <x:v>Crear venta usando precio y nombre devueltos por MS-3.</x:v>
      </x:c>
      <x:c r="O3" s="7" t="str">
        <x:v>Un producto inválido produce error sin persistir venta ni ítems.</x:v>
      </x:c>
      <x:c r="P3" s="7" t="str">
        <x:v>La creación de venta acepta precios del request y usa IVA inicial cero.</x:v>
      </x:c>
      <x:c r="Q3" s="8" t="n">
        <x:v>60</x:v>
      </x:c>
      <x:c r="R3" s="6" t="str">
        <x:v>Planificada</x:v>
      </x:c>
    </x:row>
    <x:row r="4" ht="82" customHeight="1">
      <x:c r="A4" s="7" t="str">
        <x:v>Calcular IVA real en la creación</x:v>
      </x:c>
      <x:c r="B4" s="7" t="str">
        <x:v>Objetivo: Enviar todos los ítems a MS-2 y usar la tasa configurada para el tenant antes de guardar la venta.
Entrega verificable: Subtotal, impuestos y total persistidos desde el cálculo del servidor.
Aceptación: La primera venta con un ítem muestra IVA correcto sin requerir una edición posterior.
Prioridad MoSCoW: Must. Dificultad: Media. Meta: Carrito y venta funcional.
Hallazgo o necesidad: La creación de venta acepta precios del request y usa IVA inicial cero.</x:v>
      </x:c>
      <x:c r="C4" s="6" t="str">
        <x:v>spereda2024</x:v>
      </x:c>
      <x:c r="D4" s="6" t="str">
        <x:v>Medio</x:v>
      </x:c>
      <x:c r="E4" s="6" t="str">
        <x:v>Sprint 2</x:v>
      </x:c>
      <x:c r="F4" s="6" t="str">
        <x:v>Semana 5</x:v>
      </x:c>
      <x:c r="G4" s="6" t="str">
        <x:v>Backend</x:v>
      </x:c>
      <x:c r="H4" s="6" t="str">
        <x:v>1h</x:v>
      </x:c>
      <x:c r="I4" s="6" t="str">
        <x:v>S2-003</x:v>
      </x:c>
      <x:c r="J4" s="6" t="str">
        <x:v>Sebastián</x:v>
      </x:c>
      <x:c r="K4" s="6" t="str">
        <x:v>G2: Carrito y venta funcional</x:v>
      </x:c>
      <x:c r="L4" s="6" t="str">
        <x:v>Must</x:v>
      </x:c>
      <x:c r="M4" s="6" t="str">
        <x:v>Media</x:v>
      </x:c>
      <x:c r="N4" s="7" t="str">
        <x:v>Subtotal, impuestos y total persistidos desde el cálculo del servidor.</x:v>
      </x:c>
      <x:c r="O4" s="7" t="str">
        <x:v>La primera venta con un ítem muestra IVA correcto sin requerir una edición posterior.</x:v>
      </x:c>
      <x:c r="P4" s="7" t="str">
        <x:v>La creación de venta acepta precios del request y usa IVA inicial cero.</x:v>
      </x:c>
      <x:c r="Q4" s="8" t="n">
        <x:v>60</x:v>
      </x:c>
      <x:c r="R4" s="6" t="str">
        <x:v>Planificada</x:v>
      </x:c>
    </x:row>
    <x:row r="5" ht="82" customHeight="1">
      <x:c r="A5" s="7" t="str">
        <x:v>Restringir método de cobro efectivo</x:v>
      </x:c>
      <x:c r="B5" s="7" t="str">
        <x:v>Objetivo: Separar la elección de método de pago de la confirmación del cobro y bloquear tarjeta o mixto en el endpoint de efectivo.
Entrega verificable: Validaciones del controller y respuesta de error específica.
Aceptación: No puede quedar un Pago EFECTIVO para una venta confirmada como TARJETA.
Prioridad MoSCoW: Must. Dificultad: Media. Meta: Carrito y venta funcional.
Hallazgo o necesidad: La creación de venta acepta precios del request y usa IVA inicial cero.</x:v>
      </x:c>
      <x:c r="C5" s="6" t="str">
        <x:v>spereda2024</x:v>
      </x:c>
      <x:c r="D5" s="6" t="str">
        <x:v>Medio</x:v>
      </x:c>
      <x:c r="E5" s="6" t="str">
        <x:v>Sprint 2</x:v>
      </x:c>
      <x:c r="F5" s="6" t="str">
        <x:v>Semana 5</x:v>
      </x:c>
      <x:c r="G5" s="6" t="str">
        <x:v>Backend</x:v>
      </x:c>
      <x:c r="H5" s="6" t="str">
        <x:v>1h</x:v>
      </x:c>
      <x:c r="I5" s="6" t="str">
        <x:v>S2-004</x:v>
      </x:c>
      <x:c r="J5" s="6" t="str">
        <x:v>Sebastián</x:v>
      </x:c>
      <x:c r="K5" s="6" t="str">
        <x:v>G2: Carrito y venta funcional</x:v>
      </x:c>
      <x:c r="L5" s="6" t="str">
        <x:v>Must</x:v>
      </x:c>
      <x:c r="M5" s="6" t="str">
        <x:v>Media</x:v>
      </x:c>
      <x:c r="N5" s="7" t="str">
        <x:v>Validaciones del controller y respuesta de error específica.</x:v>
      </x:c>
      <x:c r="O5" s="7" t="str">
        <x:v>No puede quedar un Pago EFECTIVO para una venta confirmada como TARJETA.</x:v>
      </x:c>
      <x:c r="P5" s="7" t="str">
        <x:v>La creación de venta acepta precios del request y usa IVA inicial cero.</x:v>
      </x:c>
      <x:c r="Q5" s="8" t="n">
        <x:v>60</x:v>
      </x:c>
      <x:c r="R5" s="6" t="str">
        <x:v>Planificada</x:v>
      </x:c>
    </x:row>
    <x:row r="6" ht="82" customHeight="1">
      <x:c r="A6" s="7" t="str">
        <x:v>Probar creación segura y turno abierto</x:v>
      </x:c>
      <x:c r="B6" s="7" t="str">
        <x:v>Objetivo: Cubrir precios falsificados, IVA por tenant, producto inactivo y ausencia de turno abierto mediante HTTP de MS-5.
Entrega verificable: Pruebas de integración reproducibles con dependencias simuladas.
Aceptación: Los cuatro casos fallan o pasan con códigos HTTP y persistencia esperados.
Prioridad MoSCoW: Must. Dificultad: Alta. Meta: Carrito y venta funcional.
Hallazgo o necesidad: La creación de venta acepta precios del request y usa IVA inicial cero.</x:v>
      </x:c>
      <x:c r="C6" s="6" t="str">
        <x:v>spereda2024</x:v>
      </x:c>
      <x:c r="D6" s="6" t="str">
        <x:v>Alta</x:v>
      </x:c>
      <x:c r="E6" s="6" t="str">
        <x:v>Sprint 2</x:v>
      </x:c>
      <x:c r="F6" s="6" t="str">
        <x:v>Semana 5</x:v>
      </x:c>
      <x:c r="G6" s="6" t="str">
        <x:v>Backend</x:v>
      </x:c>
      <x:c r="H6" s="6" t="str">
        <x:v>1h30m</x:v>
      </x:c>
      <x:c r="I6" s="6" t="str">
        <x:v>S2-005</x:v>
      </x:c>
      <x:c r="J6" s="6" t="str">
        <x:v>Sebastián</x:v>
      </x:c>
      <x:c r="K6" s="6" t="str">
        <x:v>G2: Carrito y venta funcional</x:v>
      </x:c>
      <x:c r="L6" s="6" t="str">
        <x:v>Must</x:v>
      </x:c>
      <x:c r="M6" s="6" t="str">
        <x:v>Alta</x:v>
      </x:c>
      <x:c r="N6" s="7" t="str">
        <x:v>Pruebas de integración reproducibles con dependencias simuladas.</x:v>
      </x:c>
      <x:c r="O6" s="7" t="str">
        <x:v>Los cuatro casos fallan o pasan con códigos HTTP y persistencia esperados.</x:v>
      </x:c>
      <x:c r="P6" s="7" t="str">
        <x:v>La creación de venta acepta precios del request y usa IVA inicial cero.</x:v>
      </x:c>
      <x:c r="Q6" s="8" t="n">
        <x:v>90</x:v>
      </x:c>
      <x:c r="R6" s="6" t="str">
        <x:v>Planificada</x:v>
      </x:c>
    </x:row>
    <x:row r="7" ht="82" customHeight="1">
      <x:c r="A7" s="7" t="str">
        <x:v>Definir contrato de evento y reintento</x:v>
      </x:c>
      <x:c r="B7" s="7" t="str">
        <x:v>Objetivo: Precisar EventId estable, versión del payload y estados de publicación para sale.completed.
Entrega verificable: Diseño de outbox y política de reintentos documentados.
Aceptación: El mismo evento conserva EventId en todos sus intentos.
Prioridad MoSCoW: Must. Dificultad: Baja. Meta: Carrito y venta funcional.
Hallazgo o necesidad: La publicación Kafka posterior al commit puede perder ventas.</x:v>
      </x:c>
      <x:c r="C7" s="6" t="str">
        <x:v>nmartinez2024</x:v>
      </x:c>
      <x:c r="D7" s="6" t="str">
        <x:v>Facil</x:v>
      </x:c>
      <x:c r="E7" s="6" t="str">
        <x:v>Sprint 2</x:v>
      </x:c>
      <x:c r="F7" s="6" t="str">
        <x:v>Semana 5</x:v>
      </x:c>
      <x:c r="G7" s="6" t="str">
        <x:v>Backend</x:v>
      </x:c>
      <x:c r="H7" s="6" t="str">
        <x:v>30m</x:v>
      </x:c>
      <x:c r="I7" s="6" t="str">
        <x:v>S2-006</x:v>
      </x:c>
      <x:c r="J7" s="6" t="str">
        <x:v>Nicolás</x:v>
      </x:c>
      <x:c r="K7" s="6" t="str">
        <x:v>G2: Carrito y venta funcional</x:v>
      </x:c>
      <x:c r="L7" s="6" t="str">
        <x:v>Must</x:v>
      </x:c>
      <x:c r="M7" s="6" t="str">
        <x:v>Baja</x:v>
      </x:c>
      <x:c r="N7" s="7" t="str">
        <x:v>Diseño de outbox y política de reintentos documentados.</x:v>
      </x:c>
      <x:c r="O7" s="7" t="str">
        <x:v>El mismo evento conserva EventId en todos sus intentos.</x:v>
      </x:c>
      <x:c r="P7" s="7" t="str">
        <x:v>La publicación Kafka posterior al commit puede perder ventas.</x:v>
      </x:c>
      <x:c r="Q7" s="8" t="n">
        <x:v>30</x:v>
      </x:c>
      <x:c r="R7" s="6" t="str">
        <x:v>Planificada</x:v>
      </x:c>
    </x:row>
    <x:row r="8" ht="82" customHeight="1">
      <x:c r="A8" s="7" t="str">
        <x:v>Crear migración de outbox en MS-5</x:v>
      </x:c>
      <x:c r="B8" s="7" t="str">
        <x:v>Objetivo: Agregar tabla de eventos pendientes con tenant, venta, payload y estado sin compartir base de datos entre servicios.
Entrega verificable: Migración EF Core y entidad de outbox.
Aceptación: La migración se aplica y permite consultar pendientes por estado.
Prioridad MoSCoW: Must. Dificultad: Media. Meta: Carrito y venta funcional.
Hallazgo o necesidad: La publicación Kafka posterior al commit puede perder ventas.</x:v>
      </x:c>
      <x:c r="C8" s="6" t="str">
        <x:v>nmartinez2024</x:v>
      </x:c>
      <x:c r="D8" s="6" t="str">
        <x:v>Medio</x:v>
      </x:c>
      <x:c r="E8" s="6" t="str">
        <x:v>Sprint 2</x:v>
      </x:c>
      <x:c r="F8" s="6" t="str">
        <x:v>Semana 5</x:v>
      </x:c>
      <x:c r="G8" s="6" t="str">
        <x:v>Backend</x:v>
      </x:c>
      <x:c r="H8" s="6" t="str">
        <x:v>1h</x:v>
      </x:c>
      <x:c r="I8" s="6" t="str">
        <x:v>S2-007</x:v>
      </x:c>
      <x:c r="J8" s="6" t="str">
        <x:v>Nicolás</x:v>
      </x:c>
      <x:c r="K8" s="6" t="str">
        <x:v>G2: Carrito y venta funcional</x:v>
      </x:c>
      <x:c r="L8" s="6" t="str">
        <x:v>Must</x:v>
      </x:c>
      <x:c r="M8" s="6" t="str">
        <x:v>Media</x:v>
      </x:c>
      <x:c r="N8" s="7" t="str">
        <x:v>Migración EF Core y entidad de outbox.</x:v>
      </x:c>
      <x:c r="O8" s="7" t="str">
        <x:v>La migración se aplica y permite consultar pendientes por estado.</x:v>
      </x:c>
      <x:c r="P8" s="7" t="str">
        <x:v>La publicación Kafka posterior al commit puede perder ventas.</x:v>
      </x:c>
      <x:c r="Q8" s="8" t="n">
        <x:v>60</x:v>
      </x:c>
      <x:c r="R8" s="6" t="str">
        <x:v>Planificada</x:v>
      </x:c>
    </x:row>
    <x:row r="9" ht="82" customHeight="1">
      <x:c r="A9" s="7" t="str">
        <x:v>Persistir venta y evento en una transacción</x:v>
      </x:c>
      <x:c r="B9" s="7" t="str">
        <x:v>Objetivo: Guardar el evento de venta completada junto con Pago y estado COMPLETADA antes de responder.
Entrega verificable: Cambio en repositorio o servicio con transacción atómica.
Aceptación: No existe venta completada sin evento pendiente si falla la transacción.
Prioridad MoSCoW: Must. Dificultad: Media. Meta: Carrito y venta funcional.
Hallazgo o necesidad: La publicación Kafka posterior al commit puede perder ventas.</x:v>
      </x:c>
      <x:c r="C9" s="6" t="str">
        <x:v>nmartinez2024</x:v>
      </x:c>
      <x:c r="D9" s="6" t="str">
        <x:v>Medio</x:v>
      </x:c>
      <x:c r="E9" s="6" t="str">
        <x:v>Sprint 2</x:v>
      </x:c>
      <x:c r="F9" s="6" t="str">
        <x:v>Semana 5</x:v>
      </x:c>
      <x:c r="G9" s="6" t="str">
        <x:v>Backend</x:v>
      </x:c>
      <x:c r="H9" s="6" t="str">
        <x:v>1h</x:v>
      </x:c>
      <x:c r="I9" s="6" t="str">
        <x:v>S2-008</x:v>
      </x:c>
      <x:c r="J9" s="6" t="str">
        <x:v>Nicolás</x:v>
      </x:c>
      <x:c r="K9" s="6" t="str">
        <x:v>G2: Carrito y venta funcional</x:v>
      </x:c>
      <x:c r="L9" s="6" t="str">
        <x:v>Must</x:v>
      </x:c>
      <x:c r="M9" s="6" t="str">
        <x:v>Media</x:v>
      </x:c>
      <x:c r="N9" s="7" t="str">
        <x:v>Cambio en repositorio o servicio con transacción atómica.</x:v>
      </x:c>
      <x:c r="O9" s="7" t="str">
        <x:v>No existe venta completada sin evento pendiente si falla la transacción.</x:v>
      </x:c>
      <x:c r="P9" s="7" t="str">
        <x:v>La publicación Kafka posterior al commit puede perder ventas.</x:v>
      </x:c>
      <x:c r="Q9" s="8" t="n">
        <x:v>60</x:v>
      </x:c>
      <x:c r="R9" s="6" t="str">
        <x:v>Planificada</x:v>
      </x:c>
    </x:row>
    <x:row r="10" ht="82" customHeight="1">
      <x:c r="A10" s="7" t="str">
        <x:v>Publicar pendientes con worker</x:v>
      </x:c>
      <x:c r="B10" s="7" t="str">
        <x:v>Objetivo: Enviar eventos de outbox a Kafka con reintento y marcado de enviado, evitando generar un GUID nuevo.
Entrega verificable: Servicio hospedado con logging estructurado y cancelación limpia.
Aceptación: Un fallo temporal deja el evento pendiente para el siguiente intento.
Prioridad MoSCoW: Must. Dificultad: Media. Meta: Carrito y venta funcional.
Hallazgo o necesidad: La publicación Kafka posterior al commit puede perder ventas.</x:v>
      </x:c>
      <x:c r="C10" s="6" t="str">
        <x:v>nmartinez2024</x:v>
      </x:c>
      <x:c r="D10" s="6" t="str">
        <x:v>Medio</x:v>
      </x:c>
      <x:c r="E10" s="6" t="str">
        <x:v>Sprint 2</x:v>
      </x:c>
      <x:c r="F10" s="6" t="str">
        <x:v>Semana 5</x:v>
      </x:c>
      <x:c r="G10" s="6" t="str">
        <x:v>Backend</x:v>
      </x:c>
      <x:c r="H10" s="6" t="str">
        <x:v>1h</x:v>
      </x:c>
      <x:c r="I10" s="6" t="str">
        <x:v>S2-009</x:v>
      </x:c>
      <x:c r="J10" s="6" t="str">
        <x:v>Nicolás</x:v>
      </x:c>
      <x:c r="K10" s="6" t="str">
        <x:v>G2: Carrito y venta funcional</x:v>
      </x:c>
      <x:c r="L10" s="6" t="str">
        <x:v>Must</x:v>
      </x:c>
      <x:c r="M10" s="6" t="str">
        <x:v>Media</x:v>
      </x:c>
      <x:c r="N10" s="7" t="str">
        <x:v>Servicio hospedado con logging estructurado y cancelación limpia.</x:v>
      </x:c>
      <x:c r="O10" s="7" t="str">
        <x:v>Un fallo temporal deja el evento pendiente para el siguiente intento.</x:v>
      </x:c>
      <x:c r="P10" s="7" t="str">
        <x:v>La publicación Kafka posterior al commit puede perder ventas.</x:v>
      </x:c>
      <x:c r="Q10" s="8" t="n">
        <x:v>60</x:v>
      </x:c>
      <x:c r="R10" s="6" t="str">
        <x:v>Planificada</x:v>
      </x:c>
    </x:row>
    <x:row r="11" ht="82" customHeight="1">
      <x:c r="A11" s="7" t="str">
        <x:v>Probar caída y recuperación del broker</x:v>
      </x:c>
      <x:c r="B11" s="7" t="str">
        <x:v>Objetivo: Simular indisponibilidad de Kafka al cobrar y recuperación posterior sin duplicar venta ni evento lógico.
Entrega verificable: Pruebas de integración del outbox y del payload publicado.
Aceptación: La venta se conserva y el evento se entrega una vez lógicamente al recuperar Kafka.
Prioridad MoSCoW: Must. Dificultad: Alta. Meta: Carrito y venta funcional.
Hallazgo o necesidad: La publicación Kafka posterior al commit puede perder ventas.</x:v>
      </x:c>
      <x:c r="C11" s="6" t="str">
        <x:v>nmartinez2024</x:v>
      </x:c>
      <x:c r="D11" s="6" t="str">
        <x:v>Alta</x:v>
      </x:c>
      <x:c r="E11" s="6" t="str">
        <x:v>Sprint 2</x:v>
      </x:c>
      <x:c r="F11" s="6" t="str">
        <x:v>Semana 5</x:v>
      </x:c>
      <x:c r="G11" s="6" t="str">
        <x:v>Backend</x:v>
      </x:c>
      <x:c r="H11" s="6" t="str">
        <x:v>1h30m</x:v>
      </x:c>
      <x:c r="I11" s="6" t="str">
        <x:v>S2-010</x:v>
      </x:c>
      <x:c r="J11" s="6" t="str">
        <x:v>Nicolás</x:v>
      </x:c>
      <x:c r="K11" s="6" t="str">
        <x:v>G2: Carrito y venta funcional</x:v>
      </x:c>
      <x:c r="L11" s="6" t="str">
        <x:v>Must</x:v>
      </x:c>
      <x:c r="M11" s="6" t="str">
        <x:v>Alta</x:v>
      </x:c>
      <x:c r="N11" s="7" t="str">
        <x:v>Pruebas de integración del outbox y del payload publicado.</x:v>
      </x:c>
      <x:c r="O11" s="7" t="str">
        <x:v>La venta se conserva y el evento se entrega una vez lógicamente al recuperar Kafka.</x:v>
      </x:c>
      <x:c r="P11" s="7" t="str">
        <x:v>La publicación Kafka posterior al commit puede perder ventas.</x:v>
      </x:c>
      <x:c r="Q11" s="8" t="n">
        <x:v>90</x:v>
      </x:c>
      <x:c r="R11" s="6" t="str">
        <x:v>Planificada</x:v>
      </x:c>
    </x:row>
    <x:row r="12" ht="82" customHeight="1">
      <x:c r="A12" s="7" t="str">
        <x:v>Elegir contrato de baja de producto</x:v>
      </x:c>
      <x:c r="B12" s="7" t="str">
        <x:v>Objetivo: Definir desactivación por IsActive y respuesta para ventas históricas, sin borrado físico del catálogo.
Entrega verificable: Contrato de DELETE /products/{id} y regla de autorización ADMIN.
Aceptación: El contrato preserva referencias de productos ya vendidos.
Prioridad MoSCoW: Must. Dificultad: Baja. Meta: Página Administración.
Hallazgo o necesidad: La UI invoca DELETE /products/{id} y la API no lo expone; TenantConfig falla TypeScript.</x:v>
      </x:c>
      <x:c r="C12" s="6" t="str">
        <x:v>msanhueza2024</x:v>
      </x:c>
      <x:c r="D12" s="6" t="str">
        <x:v>Facil</x:v>
      </x:c>
      <x:c r="E12" s="6" t="str">
        <x:v>Sprint 2</x:v>
      </x:c>
      <x:c r="F12" s="6" t="str">
        <x:v>Semana 5</x:v>
      </x:c>
      <x:c r="G12" s="6" t="str">
        <x:v>Backend</x:v>
      </x:c>
      <x:c r="H12" s="6" t="str">
        <x:v>30m</x:v>
      </x:c>
      <x:c r="I12" s="6" t="str">
        <x:v>S2-011</x:v>
      </x:c>
      <x:c r="J12" s="6" t="str">
        <x:v>Martín</x:v>
      </x:c>
      <x:c r="K12" s="6" t="str">
        <x:v>G1: Página Administración</x:v>
      </x:c>
      <x:c r="L12" s="6" t="str">
        <x:v>Must</x:v>
      </x:c>
      <x:c r="M12" s="6" t="str">
        <x:v>Baja</x:v>
      </x:c>
      <x:c r="N12" s="7" t="str">
        <x:v>Contrato de DELETE /products/{id} y regla de autorización ADMIN.</x:v>
      </x:c>
      <x:c r="O12" s="7" t="str">
        <x:v>El contrato preserva referencias de productos ya vendidos.</x:v>
      </x:c>
      <x:c r="P12" s="7" t="str">
        <x:v>La UI invoca DELETE /products/{id} y la API no lo expone; TenantConfig falla TypeScript.</x:v>
      </x:c>
      <x:c r="Q12" s="8" t="n">
        <x:v>30</x:v>
      </x:c>
      <x:c r="R12" s="6" t="str">
        <x:v>Planificada</x:v>
      </x:c>
    </x:row>
    <x:row r="13" ht="82" customHeight="1">
      <x:c r="A13" s="7" t="str">
        <x:v>Implementar desactivación en MS-3</x:v>
      </x:c>
      <x:c r="B13" s="7" t="str">
        <x:v>Objetivo: Exponer DELETE para desactivar producto del tenant autenticado, sin afectar otro tenant.
Entrega verificable: Controller y servicio con 204/404 y filtro de tenant.
Aceptación: La búsqueda POS no devuelve el producto desactivado.
Prioridad MoSCoW: Must. Dificultad: Media. Meta: Página Administración.
Hallazgo o necesidad: La UI invoca DELETE /products/{id} y la API no lo expone; TenantConfig falla TypeScript.</x:v>
      </x:c>
      <x:c r="C13" s="6" t="str">
        <x:v>msanhueza2024</x:v>
      </x:c>
      <x:c r="D13" s="6" t="str">
        <x:v>Medio</x:v>
      </x:c>
      <x:c r="E13" s="6" t="str">
        <x:v>Sprint 2</x:v>
      </x:c>
      <x:c r="F13" s="6" t="str">
        <x:v>Semana 5</x:v>
      </x:c>
      <x:c r="G13" s="6" t="str">
        <x:v>Backend</x:v>
      </x:c>
      <x:c r="H13" s="6" t="str">
        <x:v>1h</x:v>
      </x:c>
      <x:c r="I13" s="6" t="str">
        <x:v>S2-012</x:v>
      </x:c>
      <x:c r="J13" s="6" t="str">
        <x:v>Martín</x:v>
      </x:c>
      <x:c r="K13" s="6" t="str">
        <x:v>G1: Página Administración</x:v>
      </x:c>
      <x:c r="L13" s="6" t="str">
        <x:v>Must</x:v>
      </x:c>
      <x:c r="M13" s="6" t="str">
        <x:v>Media</x:v>
      </x:c>
      <x:c r="N13" s="7" t="str">
        <x:v>Controller y servicio con 204/404 y filtro de tenant.</x:v>
      </x:c>
      <x:c r="O13" s="7" t="str">
        <x:v>La búsqueda POS no devuelve el producto desactivado.</x:v>
      </x:c>
      <x:c r="P13" s="7" t="str">
        <x:v>La UI invoca DELETE /products/{id} y la API no lo expone; TenantConfig falla TypeScript.</x:v>
      </x:c>
      <x:c r="Q13" s="8" t="n">
        <x:v>60</x:v>
      </x:c>
      <x:c r="R13" s="6" t="str">
        <x:v>Planificada</x:v>
      </x:c>
    </x:row>
    <x:row r="14" ht="82" customHeight="1">
      <x:c r="A14" s="7" t="str">
        <x:v>Alinear acción de productos Admin</x:v>
      </x:c>
      <x:c r="B14" s="7" t="str">
        <x:v>Objetivo: Cambiar el texto y confirmación de eliminación permanente por desactivación y mostrar el estado resultante.
Entrega verificable: Pantalla de productos conectada al contrato nuevo.
Aceptación: La UI confirma desactivación y no promete borrar datos históricos.
Prioridad MoSCoW: Must. Dificultad: Media. Meta: Página Administración.
Hallazgo o necesidad: La UI invoca DELETE /products/{id} y la API no lo expone; TenantConfig falla TypeScript.</x:v>
      </x:c>
      <x:c r="C14" s="6" t="str">
        <x:v>msanhueza2024</x:v>
      </x:c>
      <x:c r="D14" s="6" t="str">
        <x:v>Medio</x:v>
      </x:c>
      <x:c r="E14" s="6" t="str">
        <x:v>Sprint 2</x:v>
      </x:c>
      <x:c r="F14" s="6" t="str">
        <x:v>Semana 5</x:v>
      </x:c>
      <x:c r="G14" s="6" t="str">
        <x:v>Backend</x:v>
      </x:c>
      <x:c r="H14" s="6" t="str">
        <x:v>1h</x:v>
      </x:c>
      <x:c r="I14" s="6" t="str">
        <x:v>S2-013</x:v>
      </x:c>
      <x:c r="J14" s="6" t="str">
        <x:v>Martín</x:v>
      </x:c>
      <x:c r="K14" s="6" t="str">
        <x:v>G1: Página Administración</x:v>
      </x:c>
      <x:c r="L14" s="6" t="str">
        <x:v>Must</x:v>
      </x:c>
      <x:c r="M14" s="6" t="str">
        <x:v>Media</x:v>
      </x:c>
      <x:c r="N14" s="7" t="str">
        <x:v>Pantalla de productos conectada al contrato nuevo.</x:v>
      </x:c>
      <x:c r="O14" s="7" t="str">
        <x:v>La UI confirma desactivación y no promete borrar datos históricos.</x:v>
      </x:c>
      <x:c r="P14" s="7" t="str">
        <x:v>La UI invoca DELETE /products/{id} y la API no lo expone; TenantConfig falla TypeScript.</x:v>
      </x:c>
      <x:c r="Q14" s="8" t="n">
        <x:v>60</x:v>
      </x:c>
      <x:c r="R14" s="6" t="str">
        <x:v>Planificada</x:v>
      </x:c>
    </x:row>
    <x:row r="15" ht="82" customHeight="1">
      <x:c r="A15" s="7" t="str">
        <x:v>Corregir tipos de TenantConfig</x:v>
      </x:c>
      <x:c r="B15" s="7" t="str">
        <x:v>Objetivo: Alinear z.coerce.number, react-hook-form y zodResolver con las versiones fijadas en package-lock.
Entrega verificable: Formulario compilable sin casts inseguros.
Aceptación: tsc --noEmit pasa para TenantConfig.
Prioridad MoSCoW: Must. Dificultad: Media. Meta: Página Administración.
Hallazgo o necesidad: La UI invoca DELETE /products/{id} y la API no lo expone; TenantConfig falla TypeScript.</x:v>
      </x:c>
      <x:c r="C15" s="6" t="str">
        <x:v>msanhueza2024</x:v>
      </x:c>
      <x:c r="D15" s="6" t="str">
        <x:v>Medio</x:v>
      </x:c>
      <x:c r="E15" s="6" t="str">
        <x:v>Sprint 2</x:v>
      </x:c>
      <x:c r="F15" s="6" t="str">
        <x:v>Semana 5</x:v>
      </x:c>
      <x:c r="G15" s="6" t="str">
        <x:v>Backend</x:v>
      </x:c>
      <x:c r="H15" s="6" t="str">
        <x:v>1h</x:v>
      </x:c>
      <x:c r="I15" s="6" t="str">
        <x:v>S2-014</x:v>
      </x:c>
      <x:c r="J15" s="6" t="str">
        <x:v>Martín</x:v>
      </x:c>
      <x:c r="K15" s="6" t="str">
        <x:v>G1: Página Administración</x:v>
      </x:c>
      <x:c r="L15" s="6" t="str">
        <x:v>Must</x:v>
      </x:c>
      <x:c r="M15" s="6" t="str">
        <x:v>Media</x:v>
      </x:c>
      <x:c r="N15" s="7" t="str">
        <x:v>Formulario compilable sin casts inseguros.</x:v>
      </x:c>
      <x:c r="O15" s="7" t="str">
        <x:v>tsc --noEmit pasa para TenantConfig.</x:v>
      </x:c>
      <x:c r="P15" s="7" t="str">
        <x:v>La UI invoca DELETE /products/{id} y la API no lo expone; TenantConfig falla TypeScript.</x:v>
      </x:c>
      <x:c r="Q15" s="8" t="n">
        <x:v>60</x:v>
      </x:c>
      <x:c r="R15" s="6" t="str">
        <x:v>Planificada</x:v>
      </x:c>
    </x:row>
    <x:row r="16" ht="82" customHeight="1">
      <x:c r="A16" s="7" t="str">
        <x:v>Probar baja y formulario por tenant</x:v>
      </x:c>
      <x:c r="B16" s="7" t="str">
        <x:v>Objetivo: Cubrir producto propio, producto ajeno, usuario no ADMIN y cambio de IVA en configuración.
Entrega verificable: Pruebas de API y verificación del formulario Admin.
Aceptación: Las mutaciones cruzadas devuelven rechazo y el formulario envía un número válido.
Prioridad MoSCoW: Must. Dificultad: Alta. Meta: Página Administración.
Hallazgo o necesidad: La UI invoca DELETE /products/{id} y la API no lo expone; TenantConfig falla TypeScript.</x:v>
      </x:c>
      <x:c r="C16" s="6" t="str">
        <x:v>msanhueza2024</x:v>
      </x:c>
      <x:c r="D16" s="6" t="str">
        <x:v>Alta</x:v>
      </x:c>
      <x:c r="E16" s="6" t="str">
        <x:v>Sprint 2</x:v>
      </x:c>
      <x:c r="F16" s="6" t="str">
        <x:v>Semana 5</x:v>
      </x:c>
      <x:c r="G16" s="6" t="str">
        <x:v>Backend</x:v>
      </x:c>
      <x:c r="H16" s="6" t="str">
        <x:v>1h30m</x:v>
      </x:c>
      <x:c r="I16" s="6" t="str">
        <x:v>S2-015</x:v>
      </x:c>
      <x:c r="J16" s="6" t="str">
        <x:v>Martín</x:v>
      </x:c>
      <x:c r="K16" s="6" t="str">
        <x:v>G1: Página Administración</x:v>
      </x:c>
      <x:c r="L16" s="6" t="str">
        <x:v>Must</x:v>
      </x:c>
      <x:c r="M16" s="6" t="str">
        <x:v>Alta</x:v>
      </x:c>
      <x:c r="N16" s="7" t="str">
        <x:v>Pruebas de API y verificación del formulario Admin.</x:v>
      </x:c>
      <x:c r="O16" s="7" t="str">
        <x:v>Las mutaciones cruzadas devuelven rechazo y el formulario envía un número válido.</x:v>
      </x:c>
      <x:c r="P16" s="7" t="str">
        <x:v>La UI invoca DELETE /products/{id} y la API no lo expone; TenantConfig falla TypeScript.</x:v>
      </x:c>
      <x:c r="Q16" s="8" t="n">
        <x:v>90</x:v>
      </x:c>
      <x:c r="R16" s="6" t="str">
        <x:v>Planificada</x:v>
      </x:c>
    </x:row>
    <x:row r="17" ht="82" customHeight="1">
      <x:c r="A17" s="7" t="str">
        <x:v>Centralizar URL y token de APIs</x:v>
      </x:c>
      <x:c r="B17" s="7" t="str">
        <x:v>Objetivo: Extraer clientes tipados para MS-1, MS-3 y MS-5 con timeout y manejo uniforme de 401.
Entrega verificable: Módulo API usado por POS y páginas de turnos.
Aceptación: No quedan URLs duplicadas dentro del nuevo flujo de venta.
Prioridad MoSCoW: Must. Dificultad: Baja. Meta: Carrito y venta funcional.
Hallazgo o necesidad: Pos.tsx conserva carrito local y no habla con MS-5.</x:v>
      </x:c>
      <x:c r="C17" s="6" t="str">
        <x:v>admin</x:v>
      </x:c>
      <x:c r="D17" s="6" t="str">
        <x:v>Facil</x:v>
      </x:c>
      <x:c r="E17" s="6" t="str">
        <x:v>Sprint 2</x:v>
      </x:c>
      <x:c r="F17" s="6" t="str">
        <x:v>Semana 5</x:v>
      </x:c>
      <x:c r="G17" s="6" t="str">
        <x:v>Frontend</x:v>
      </x:c>
      <x:c r="H17" s="6" t="str">
        <x:v>30m</x:v>
      </x:c>
      <x:c r="I17" s="6" t="str">
        <x:v>S2-016</x:v>
      </x:c>
      <x:c r="J17" s="6" t="str">
        <x:v>Rodrigo</x:v>
      </x:c>
      <x:c r="K17" s="6" t="str">
        <x:v>G2: Carrito y venta funcional</x:v>
      </x:c>
      <x:c r="L17" s="6" t="str">
        <x:v>Must</x:v>
      </x:c>
      <x:c r="M17" s="6" t="str">
        <x:v>Baja</x:v>
      </x:c>
      <x:c r="N17" s="7" t="str">
        <x:v>Módulo API usado por POS y páginas de turnos.</x:v>
      </x:c>
      <x:c r="O17" s="7" t="str">
        <x:v>No quedan URLs duplicadas dentro del nuevo flujo de venta.</x:v>
      </x:c>
      <x:c r="P17" s="7" t="str">
        <x:v>Pos.tsx conserva carrito local y no habla con MS-5.</x:v>
      </x:c>
      <x:c r="Q17" s="8" t="n">
        <x:v>30</x:v>
      </x:c>
      <x:c r="R17" s="6" t="str">
        <x:v>Planificada</x:v>
      </x:c>
    </x:row>
    <x:row r="18" ht="82" customHeight="1">
      <x:c r="A18" s="7" t="str">
        <x:v>Exigir turno antes de iniciar carrito</x:v>
      </x:c>
      <x:c r="B18" s="7" t="str">
        <x:v>Objetivo: Consultar turno activo al abrir POS y dirigir a apertura si no existe.
Entrega verificable: Guardia de ruta y estado de carga en POS.
Aceptación: Un cajero sin turno no puede crear una venta desde la interfaz.
Prioridad MoSCoW: Must. Dificultad: Media. Meta: Carrito y venta funcional.
Hallazgo o necesidad: Pos.tsx conserva carrito local y no habla con MS-5.</x:v>
      </x:c>
      <x:c r="C18" s="6" t="str">
        <x:v>admin</x:v>
      </x:c>
      <x:c r="D18" s="6" t="str">
        <x:v>Medio</x:v>
      </x:c>
      <x:c r="E18" s="6" t="str">
        <x:v>Sprint 2</x:v>
      </x:c>
      <x:c r="F18" s="6" t="str">
        <x:v>Semana 5</x:v>
      </x:c>
      <x:c r="G18" s="6" t="str">
        <x:v>Frontend</x:v>
      </x:c>
      <x:c r="H18" s="6" t="str">
        <x:v>1h</x:v>
      </x:c>
      <x:c r="I18" s="6" t="str">
        <x:v>S2-017</x:v>
      </x:c>
      <x:c r="J18" s="6" t="str">
        <x:v>Rodrigo</x:v>
      </x:c>
      <x:c r="K18" s="6" t="str">
        <x:v>G2: Carrito y venta funcional</x:v>
      </x:c>
      <x:c r="L18" s="6" t="str">
        <x:v>Must</x:v>
      </x:c>
      <x:c r="M18" s="6" t="str">
        <x:v>Media</x:v>
      </x:c>
      <x:c r="N18" s="7" t="str">
        <x:v>Guardia de ruta y estado de carga en POS.</x:v>
      </x:c>
      <x:c r="O18" s="7" t="str">
        <x:v>Un cajero sin turno no puede crear una venta desde la interfaz.</x:v>
      </x:c>
      <x:c r="P18" s="7" t="str">
        <x:v>Pos.tsx conserva carrito local y no habla con MS-5.</x:v>
      </x:c>
      <x:c r="Q18" s="8" t="n">
        <x:v>60</x:v>
      </x:c>
      <x:c r="R18" s="6" t="str">
        <x:v>Planificada</x:v>
      </x:c>
    </x:row>
    <x:row r="19" ht="82" customHeight="1">
      <x:c r="A19" s="7" t="str">
        <x:v>Crear venta de servidor desde POS</x:v>
      </x:c>
      <x:c r="B19" s="7" t="str">
        <x:v>Objetivo: Enviar producto y cantidad al contrato seguro de MS-5 y conservar ventaId como origen de verdad.
Entrega verificable: Flujo de inicio de venta con errores visibles.
Aceptación: Recargar la pantalla recupera la venta pendiente desde MS-5.
Prioridad MoSCoW: Must. Dificultad: Media. Meta: Carrito y venta funcional.
Hallazgo o necesidad: Pos.tsx conserva carrito local y no habla con MS-5.</x:v>
      </x:c>
      <x:c r="C19" s="6" t="str">
        <x:v>admin</x:v>
      </x:c>
      <x:c r="D19" s="6" t="str">
        <x:v>Medio</x:v>
      </x:c>
      <x:c r="E19" s="6" t="str">
        <x:v>Sprint 2</x:v>
      </x:c>
      <x:c r="F19" s="6" t="str">
        <x:v>Semana 5</x:v>
      </x:c>
      <x:c r="G19" s="6" t="str">
        <x:v>Frontend</x:v>
      </x:c>
      <x:c r="H19" s="6" t="str">
        <x:v>1h</x:v>
      </x:c>
      <x:c r="I19" s="6" t="str">
        <x:v>S2-018</x:v>
      </x:c>
      <x:c r="J19" s="6" t="str">
        <x:v>Rodrigo</x:v>
      </x:c>
      <x:c r="K19" s="6" t="str">
        <x:v>G2: Carrito y venta funcional</x:v>
      </x:c>
      <x:c r="L19" s="6" t="str">
        <x:v>Must</x:v>
      </x:c>
      <x:c r="M19" s="6" t="str">
        <x:v>Media</x:v>
      </x:c>
      <x:c r="N19" s="7" t="str">
        <x:v>Flujo de inicio de venta con errores visibles.</x:v>
      </x:c>
      <x:c r="O19" s="7" t="str">
        <x:v>Recargar la pantalla recupera la venta pendiente desde MS-5.</x:v>
      </x:c>
      <x:c r="P19" s="7" t="str">
        <x:v>Pos.tsx conserva carrito local y no habla con MS-5.</x:v>
      </x:c>
      <x:c r="Q19" s="8" t="n">
        <x:v>60</x:v>
      </x:c>
      <x:c r="R19" s="6" t="str">
        <x:v>Planificada</x:v>
      </x:c>
    </x:row>
    <x:row r="20" ht="82" customHeight="1">
      <x:c r="A20" s="7" t="str">
        <x:v>Sincronizar agregar y modificar ítems</x:v>
      </x:c>
      <x:c r="B20" s="7" t="str">
        <x:v>Objetivo: Conectar escaneo, búsqueda y cambios de cantidad a endpoints de ítems; representar la respuesta del servidor.
Entrega verificable: Carrito React basado en VentaResponse.
Aceptación: Subtotal e IVA mostrados coinciden con la API tras cada operación.
Prioridad MoSCoW: Must. Dificultad: Media. Meta: Carrito y venta funcional.
Hallazgo o necesidad: Pos.tsx conserva carrito local y no habla con MS-5.</x:v>
      </x:c>
      <x:c r="C20" s="6" t="str">
        <x:v>admin</x:v>
      </x:c>
      <x:c r="D20" s="6" t="str">
        <x:v>Medio</x:v>
      </x:c>
      <x:c r="E20" s="6" t="str">
        <x:v>Sprint 2</x:v>
      </x:c>
      <x:c r="F20" s="6" t="str">
        <x:v>Semana 5</x:v>
      </x:c>
      <x:c r="G20" s="6" t="str">
        <x:v>Frontend</x:v>
      </x:c>
      <x:c r="H20" s="6" t="str">
        <x:v>1h</x:v>
      </x:c>
      <x:c r="I20" s="6" t="str">
        <x:v>S2-019</x:v>
      </x:c>
      <x:c r="J20" s="6" t="str">
        <x:v>Rodrigo</x:v>
      </x:c>
      <x:c r="K20" s="6" t="str">
        <x:v>G2: Carrito y venta funcional</x:v>
      </x:c>
      <x:c r="L20" s="6" t="str">
        <x:v>Must</x:v>
      </x:c>
      <x:c r="M20" s="6" t="str">
        <x:v>Media</x:v>
      </x:c>
      <x:c r="N20" s="7" t="str">
        <x:v>Carrito React basado en VentaResponse.</x:v>
      </x:c>
      <x:c r="O20" s="7" t="str">
        <x:v>Subtotal e IVA mostrados coinciden con la API tras cada operación.</x:v>
      </x:c>
      <x:c r="P20" s="7" t="str">
        <x:v>Pos.tsx conserva carrito local y no habla con MS-5.</x:v>
      </x:c>
      <x:c r="Q20" s="8" t="n">
        <x:v>60</x:v>
      </x:c>
      <x:c r="R20" s="6" t="str">
        <x:v>Planificada</x:v>
      </x:c>
    </x:row>
    <x:row r="21" ht="82" customHeight="1">
      <x:c r="A21" s="7" t="str">
        <x:v>Sincronizar eliminación y recuperación</x:v>
      </x:c>
      <x:c r="B21" s="7" t="str">
        <x:v>Objetivo: Eliminar ítems por API y recuperar venta pendiente al reiniciar POS sin usar localStorage como autoridad.
Entrega verificable: Flujo de recuperación y eliminación con estados de error.
Aceptación: El carrito recuperado coincide con GET /ventas/{id} y no revive un ítem eliminado.
Prioridad MoSCoW: Must. Dificultad: Alta. Meta: Carrito y venta funcional.
Hallazgo o necesidad: Pos.tsx conserva carrito local y no habla con MS-5.</x:v>
      </x:c>
      <x:c r="C21" s="6" t="str">
        <x:v>admin</x:v>
      </x:c>
      <x:c r="D21" s="6" t="str">
        <x:v>Alta</x:v>
      </x:c>
      <x:c r="E21" s="6" t="str">
        <x:v>Sprint 2</x:v>
      </x:c>
      <x:c r="F21" s="6" t="str">
        <x:v>Semana 5</x:v>
      </x:c>
      <x:c r="G21" s="6" t="str">
        <x:v>Frontend</x:v>
      </x:c>
      <x:c r="H21" s="6" t="str">
        <x:v>1h30m</x:v>
      </x:c>
      <x:c r="I21" s="6" t="str">
        <x:v>S2-020</x:v>
      </x:c>
      <x:c r="J21" s="6" t="str">
        <x:v>Rodrigo</x:v>
      </x:c>
      <x:c r="K21" s="6" t="str">
        <x:v>G2: Carrito y venta funcional</x:v>
      </x:c>
      <x:c r="L21" s="6" t="str">
        <x:v>Must</x:v>
      </x:c>
      <x:c r="M21" s="6" t="str">
        <x:v>Alta</x:v>
      </x:c>
      <x:c r="N21" s="7" t="str">
        <x:v>Flujo de recuperación y eliminación con estados de error.</x:v>
      </x:c>
      <x:c r="O21" s="7" t="str">
        <x:v>El carrito recuperado coincide con GET /ventas/{id} y no revive un ítem eliminado.</x:v>
      </x:c>
      <x:c r="P21" s="7" t="str">
        <x:v>Pos.tsx conserva carrito local y no habla con MS-5.</x:v>
      </x:c>
      <x:c r="Q21" s="8" t="n">
        <x:v>90</x:v>
      </x:c>
      <x:c r="R21" s="6" t="str">
        <x:v>Planificada</x:v>
      </x:c>
    </x:row>
    <x:row r="22" ht="82" customHeight="1">
      <x:c r="A22" s="7" t="str">
        <x:v>Definir casos de aceptación de las cinco metas</x:v>
      </x:c>
      <x:c r="B22" s="7" t="str">
        <x:v>Objetivo: Convertir metas de la imagen en escenarios verificables y separar prueba simulada de prueba física.
Entrega verificable: Matriz de aceptación con resultado esperado y dependencia.
Aceptación: Cada meta tiene al menos un criterio demostrable al cierre.
Prioridad MoSCoW: Must. Dificultad: Baja. Meta: Carrito y venta funcional.
Hallazgo o necesidad: Faltan pruebas E2E y de aislamiento para la venta.</x:v>
      </x:c>
      <x:c r="C22" s="6" t="str">
        <x:v>dprado2024</x:v>
      </x:c>
      <x:c r="D22" s="6" t="str">
        <x:v>Facil</x:v>
      </x:c>
      <x:c r="E22" s="6" t="str">
        <x:v>Sprint 2</x:v>
      </x:c>
      <x:c r="F22" s="6" t="str">
        <x:v>Semana 5</x:v>
      </x:c>
      <x:c r="G22" s="6" t="str">
        <x:v>Testing</x:v>
      </x:c>
      <x:c r="H22" s="6" t="str">
        <x:v>30m</x:v>
      </x:c>
      <x:c r="I22" s="6" t="str">
        <x:v>S2-021</x:v>
      </x:c>
      <x:c r="J22" s="6" t="str">
        <x:v>Daniel</x:v>
      </x:c>
      <x:c r="K22" s="6" t="str">
        <x:v>G2: Carrito y venta funcional</x:v>
      </x:c>
      <x:c r="L22" s="6" t="str">
        <x:v>Must</x:v>
      </x:c>
      <x:c r="M22" s="6" t="str">
        <x:v>Baja</x:v>
      </x:c>
      <x:c r="N22" s="7" t="str">
        <x:v>Matriz de aceptación con resultado esperado y dependencia.</x:v>
      </x:c>
      <x:c r="O22" s="7" t="str">
        <x:v>Cada meta tiene al menos un criterio demostrable al cierre.</x:v>
      </x:c>
      <x:c r="P22" s="7" t="str">
        <x:v>Faltan pruebas E2E y de aislamiento para la venta.</x:v>
      </x:c>
      <x:c r="Q22" s="8" t="n">
        <x:v>30</x:v>
      </x:c>
      <x:c r="R22" s="6" t="str">
        <x:v>Planificada</x:v>
      </x:c>
    </x:row>
    <x:row r="23" ht="82" customHeight="1">
      <x:c r="A23" s="7" t="str">
        <x:v>Crear fixtures de dos tenants y turnos</x:v>
      </x:c>
      <x:c r="B23" s="7" t="str">
        <x:v>Objetivo: Preparar datos aislados de usuarios, productos y ventas sin depender de seeds personales.
Entrega verificable: Fixtures y utilidades reutilizables para integración.
Aceptación: Las pruebas pueden crear y limpiar sus datos por tenant.
Prioridad MoSCoW: Must. Dificultad: Media. Meta: Carrito y venta funcional.
Hallazgo o necesidad: Faltan pruebas E2E y de aislamiento para la venta.</x:v>
      </x:c>
      <x:c r="C23" s="6" t="str">
        <x:v>dprado2024</x:v>
      </x:c>
      <x:c r="D23" s="6" t="str">
        <x:v>Medio</x:v>
      </x:c>
      <x:c r="E23" s="6" t="str">
        <x:v>Sprint 2</x:v>
      </x:c>
      <x:c r="F23" s="6" t="str">
        <x:v>Semana 5</x:v>
      </x:c>
      <x:c r="G23" s="6" t="str">
        <x:v>Testing</x:v>
      </x:c>
      <x:c r="H23" s="6" t="str">
        <x:v>1h</x:v>
      </x:c>
      <x:c r="I23" s="6" t="str">
        <x:v>S2-022</x:v>
      </x:c>
      <x:c r="J23" s="6" t="str">
        <x:v>Daniel</x:v>
      </x:c>
      <x:c r="K23" s="6" t="str">
        <x:v>G2: Carrito y venta funcional</x:v>
      </x:c>
      <x:c r="L23" s="6" t="str">
        <x:v>Must</x:v>
      </x:c>
      <x:c r="M23" s="6" t="str">
        <x:v>Media</x:v>
      </x:c>
      <x:c r="N23" s="7" t="str">
        <x:v>Fixtures y utilidades reutilizables para integración.</x:v>
      </x:c>
      <x:c r="O23" s="7" t="str">
        <x:v>Las pruebas pueden crear y limpiar sus datos por tenant.</x:v>
      </x:c>
      <x:c r="P23" s="7" t="str">
        <x:v>Faltan pruebas E2E y de aislamiento para la venta.</x:v>
      </x:c>
      <x:c r="Q23" s="8" t="n">
        <x:v>60</x:v>
      </x:c>
      <x:c r="R23" s="6" t="str">
        <x:v>Planificada</x:v>
      </x:c>
    </x:row>
    <x:row r="24" ht="82" customHeight="1">
      <x:c r="A24" s="7" t="str">
        <x:v>Probar aislamiento de venta y producto</x:v>
      </x:c>
      <x:c r="B24" s="7" t="str">
        <x:v>Objetivo: Intentar leer o mutar venta y producto de tenant B con JWT de tenant A.
Entrega verificable: Suite RN-01 sobre MS-3 y MS-5.
Aceptación: Ninguna consulta devuelve datos cruzados y ninguna mutación los altera.
Prioridad MoSCoW: Must. Dificultad: Media. Meta: Carrito y venta funcional.
Hallazgo o necesidad: Faltan pruebas E2E y de aislamiento para la venta.</x:v>
      </x:c>
      <x:c r="C24" s="6" t="str">
        <x:v>dprado2024</x:v>
      </x:c>
      <x:c r="D24" s="6" t="str">
        <x:v>Medio</x:v>
      </x:c>
      <x:c r="E24" s="6" t="str">
        <x:v>Sprint 2</x:v>
      </x:c>
      <x:c r="F24" s="6" t="str">
        <x:v>Semana 5</x:v>
      </x:c>
      <x:c r="G24" s="6" t="str">
        <x:v>Testing</x:v>
      </x:c>
      <x:c r="H24" s="6" t="str">
        <x:v>1h</x:v>
      </x:c>
      <x:c r="I24" s="6" t="str">
        <x:v>S2-023</x:v>
      </x:c>
      <x:c r="J24" s="6" t="str">
        <x:v>Daniel</x:v>
      </x:c>
      <x:c r="K24" s="6" t="str">
        <x:v>G2: Carrito y venta funcional</x:v>
      </x:c>
      <x:c r="L24" s="6" t="str">
        <x:v>Must</x:v>
      </x:c>
      <x:c r="M24" s="6" t="str">
        <x:v>Media</x:v>
      </x:c>
      <x:c r="N24" s="7" t="str">
        <x:v>Suite RN-01 sobre MS-3 y MS-5.</x:v>
      </x:c>
      <x:c r="O24" s="7" t="str">
        <x:v>Ninguna consulta devuelve datos cruzados y ninguna mutación los altera.</x:v>
      </x:c>
      <x:c r="P24" s="7" t="str">
        <x:v>Faltan pruebas E2E y de aislamiento para la venta.</x:v>
      </x:c>
      <x:c r="Q24" s="8" t="n">
        <x:v>60</x:v>
      </x:c>
      <x:c r="R24" s="6" t="str">
        <x:v>Planificada</x:v>
      </x:c>
    </x:row>
    <x:row r="25" ht="82" customHeight="1">
      <x:c r="A25" s="7" t="str">
        <x:v>Configurar prueba E2E de Electron POS</x:v>
      </x:c>
      <x:c r="B25" s="7" t="str">
        <x:v>Objetivo: Automatizar login, apertura de turno y entrada a POS con APIs simuladas estables.
Entrega verificable: Esqueleto Playwright y configuración de CI local.
Aceptación: La prueba arranca sin requerir datos de la cuenta personal del desarrollador.
Prioridad MoSCoW: Must. Dificultad: Media. Meta: Carrito y venta funcional.
Hallazgo o necesidad: Faltan pruebas E2E y de aislamiento para la venta.</x:v>
      </x:c>
      <x:c r="C25" s="6" t="str">
        <x:v>dprado2024</x:v>
      </x:c>
      <x:c r="D25" s="6" t="str">
        <x:v>Medio</x:v>
      </x:c>
      <x:c r="E25" s="6" t="str">
        <x:v>Sprint 2</x:v>
      </x:c>
      <x:c r="F25" s="6" t="str">
        <x:v>Semana 5</x:v>
      </x:c>
      <x:c r="G25" s="6" t="str">
        <x:v>Testing</x:v>
      </x:c>
      <x:c r="H25" s="6" t="str">
        <x:v>1h</x:v>
      </x:c>
      <x:c r="I25" s="6" t="str">
        <x:v>S2-024</x:v>
      </x:c>
      <x:c r="J25" s="6" t="str">
        <x:v>Daniel</x:v>
      </x:c>
      <x:c r="K25" s="6" t="str">
        <x:v>G2: Carrito y venta funcional</x:v>
      </x:c>
      <x:c r="L25" s="6" t="str">
        <x:v>Must</x:v>
      </x:c>
      <x:c r="M25" s="6" t="str">
        <x:v>Media</x:v>
      </x:c>
      <x:c r="N25" s="7" t="str">
        <x:v>Esqueleto Playwright y configuración de CI local.</x:v>
      </x:c>
      <x:c r="O25" s="7" t="str">
        <x:v>La prueba arranca sin requerir datos de la cuenta personal del desarrollador.</x:v>
      </x:c>
      <x:c r="P25" s="7" t="str">
        <x:v>Faltan pruebas E2E y de aislamiento para la venta.</x:v>
      </x:c>
      <x:c r="Q25" s="8" t="n">
        <x:v>60</x:v>
      </x:c>
      <x:c r="R25" s="6" t="str">
        <x:v>Planificada</x:v>
      </x:c>
    </x:row>
    <x:row r="26" ht="82" customHeight="1">
      <x:c r="A26" s="7" t="str">
        <x:v>Ejecutar regresión de carrito</x:v>
      </x:c>
      <x:c r="B26" s="7" t="str">
        <x:v>Objetivo: Cubrir agregar, cambiar cantidad, eliminar, recargar y calcular IVA desde servidor.
Entrega verificable: E2E de carrito con capturas de fallo y reporte.
Aceptación: El flujo termina con totales iguales a la respuesta de MS-5.
Prioridad MoSCoW: Must. Dificultad: Alta. Meta: Carrito y venta funcional.
Hallazgo o necesidad: Faltan pruebas E2E y de aislamiento para la venta.</x:v>
      </x:c>
      <x:c r="C26" s="6" t="str">
        <x:v>dprado2024</x:v>
      </x:c>
      <x:c r="D26" s="6" t="str">
        <x:v>Alta</x:v>
      </x:c>
      <x:c r="E26" s="6" t="str">
        <x:v>Sprint 2</x:v>
      </x:c>
      <x:c r="F26" s="6" t="str">
        <x:v>Semana 5</x:v>
      </x:c>
      <x:c r="G26" s="6" t="str">
        <x:v>Testing</x:v>
      </x:c>
      <x:c r="H26" s="6" t="str">
        <x:v>1h30m</x:v>
      </x:c>
      <x:c r="I26" s="6" t="str">
        <x:v>S2-025</x:v>
      </x:c>
      <x:c r="J26" s="6" t="str">
        <x:v>Daniel</x:v>
      </x:c>
      <x:c r="K26" s="6" t="str">
        <x:v>G2: Carrito y venta funcional</x:v>
      </x:c>
      <x:c r="L26" s="6" t="str">
        <x:v>Must</x:v>
      </x:c>
      <x:c r="M26" s="6" t="str">
        <x:v>Alta</x:v>
      </x:c>
      <x:c r="N26" s="7" t="str">
        <x:v>E2E de carrito con capturas de fallo y reporte.</x:v>
      </x:c>
      <x:c r="O26" s="7" t="str">
        <x:v>El flujo termina con totales iguales a la respuesta de MS-5.</x:v>
      </x:c>
      <x:c r="P26" s="7" t="str">
        <x:v>Faltan pruebas E2E y de aislamiento para la venta.</x:v>
      </x:c>
      <x:c r="Q26" s="8" t="n">
        <x:v>90</x:v>
      </x:c>
      <x:c r="R26" s="6" t="str">
        <x:v>Planificada</x:v>
      </x:c>
    </x:row>
    <x:row r="27" ht="82" customHeight="1">
      <x:c r="A27" s="7" t="str">
        <x:v>Inventariar rutas y puertos reales</x:v>
      </x:c>
      <x:c r="B27" s="7" t="str">
        <x:v>Objetivo: Comparar rutas del gateway, attributes de controllers y hosts de desarrollo para las cinco metas.
Entrega verificable: Matriz de rutas verificadas con método, puerto y prefijo.
Aceptación: Se identifican todas las rutas usadas por POS y Admin.
Prioridad MoSCoW: Must. Dificultad: Baja. Meta: Salud técnica del sprint.
Hallazgo o necesidad: Kong conserva prefijos incompatibles y Compose no levanta las ocho APIs.</x:v>
      </x:c>
      <x:c r="C27" s="6" t="str">
        <x:v>dleiva2024</x:v>
      </x:c>
      <x:c r="D27" s="6" t="str">
        <x:v>Facil</x:v>
      </x:c>
      <x:c r="E27" s="6" t="str">
        <x:v>Sprint 2</x:v>
      </x:c>
      <x:c r="F27" s="6" t="str">
        <x:v>Semana 5</x:v>
      </x:c>
      <x:c r="G27" s="6" t="str">
        <x:v>DevOps</x:v>
      </x:c>
      <x:c r="H27" s="6" t="str">
        <x:v>30m</x:v>
      </x:c>
      <x:c r="I27" s="6" t="str">
        <x:v>S2-026</x:v>
      </x:c>
      <x:c r="J27" s="6" t="str">
        <x:v>Diego</x:v>
      </x:c>
      <x:c r="K27" s="6" t="str">
        <x:v>H: Salud técnica del sprint</x:v>
      </x:c>
      <x:c r="L27" s="6" t="str">
        <x:v>Must</x:v>
      </x:c>
      <x:c r="M27" s="6" t="str">
        <x:v>Baja</x:v>
      </x:c>
      <x:c r="N27" s="7" t="str">
        <x:v>Matriz de rutas verificadas con método, puerto y prefijo.</x:v>
      </x:c>
      <x:c r="O27" s="7" t="str">
        <x:v>Se identifican todas las rutas usadas por POS y Admin.</x:v>
      </x:c>
      <x:c r="P27" s="7" t="str">
        <x:v>Kong conserva prefijos incompatibles y Compose no levanta las ocho APIs.</x:v>
      </x:c>
      <x:c r="Q27" s="8" t="n">
        <x:v>30</x:v>
      </x:c>
      <x:c r="R27" s="6" t="str">
        <x:v>Planificada</x:v>
      </x:c>
    </x:row>
    <x:row r="28" ht="82" customHeight="1">
      <x:c r="A28" s="7" t="str">
        <x:v>Corregir rutas Kong del flujo crítico</x:v>
      </x:c>
      <x:c r="B28" s="7" t="str">
        <x:v>Objetivo: Alinear /api/auth, /api/products, /api/ventas y /api/turnos con el path efectivo que recibe cada controller.
Entrega verificable: Configuración declarativa Kong actualizada.
Aceptación: Una petición de prueba llega al endpoint esperado sin 404 de prefijo.
Prioridad MoSCoW: Must. Dificultad: Media. Meta: Salud técnica del sprint.
Hallazgo o necesidad: Kong conserva prefijos incompatibles y Compose no levanta las ocho APIs.</x:v>
      </x:c>
      <x:c r="C28" s="6" t="str">
        <x:v>dleiva2024</x:v>
      </x:c>
      <x:c r="D28" s="6" t="str">
        <x:v>Medio</x:v>
      </x:c>
      <x:c r="E28" s="6" t="str">
        <x:v>Sprint 2</x:v>
      </x:c>
      <x:c r="F28" s="6" t="str">
        <x:v>Semana 5</x:v>
      </x:c>
      <x:c r="G28" s="6" t="str">
        <x:v>DevOps</x:v>
      </x:c>
      <x:c r="H28" s="6" t="str">
        <x:v>1h</x:v>
      </x:c>
      <x:c r="I28" s="6" t="str">
        <x:v>S2-027</x:v>
      </x:c>
      <x:c r="J28" s="6" t="str">
        <x:v>Diego</x:v>
      </x:c>
      <x:c r="K28" s="6" t="str">
        <x:v>H: Salud técnica del sprint</x:v>
      </x:c>
      <x:c r="L28" s="6" t="str">
        <x:v>Must</x:v>
      </x:c>
      <x:c r="M28" s="6" t="str">
        <x:v>Media</x:v>
      </x:c>
      <x:c r="N28" s="7" t="str">
        <x:v>Configuración declarativa Kong actualizada.</x:v>
      </x:c>
      <x:c r="O28" s="7" t="str">
        <x:v>Una petición de prueba llega al endpoint esperado sin 404 de prefijo.</x:v>
      </x:c>
      <x:c r="P28" s="7" t="str">
        <x:v>Kong conserva prefijos incompatibles y Compose no levanta las ocho APIs.</x:v>
      </x:c>
      <x:c r="Q28" s="8" t="n">
        <x:v>60</x:v>
      </x:c>
      <x:c r="R28" s="6" t="str">
        <x:v>Planificada</x:v>
      </x:c>
    </x:row>
    <x:row r="29" ht="82" customHeight="1">
      <x:c r="A29" s="7" t="str">
        <x:v>Parametrizar destinos de APIs</x:v>
      </x:c>
      <x:c r="B29" s="7" t="str">
        <x:v>Objetivo: Separar destinos local y contenedor mediante configuración sin secretos versionados.
Entrega verificable: Variables de entorno y ejemplo de configuración.
Aceptación: El mismo frontend puede apuntar al entorno local o al gateway.
Prioridad MoSCoW: Must. Dificultad: Media. Meta: Salud técnica del sprint.
Hallazgo o necesidad: Kong conserva prefijos incompatibles y Compose no levanta las ocho APIs.</x:v>
      </x:c>
      <x:c r="C29" s="6" t="str">
        <x:v>dleiva2024</x:v>
      </x:c>
      <x:c r="D29" s="6" t="str">
        <x:v>Medio</x:v>
      </x:c>
      <x:c r="E29" s="6" t="str">
        <x:v>Sprint 2</x:v>
      </x:c>
      <x:c r="F29" s="6" t="str">
        <x:v>Semana 5</x:v>
      </x:c>
      <x:c r="G29" s="6" t="str">
        <x:v>DevOps</x:v>
      </x:c>
      <x:c r="H29" s="6" t="str">
        <x:v>1h</x:v>
      </x:c>
      <x:c r="I29" s="6" t="str">
        <x:v>S2-028</x:v>
      </x:c>
      <x:c r="J29" s="6" t="str">
        <x:v>Diego</x:v>
      </x:c>
      <x:c r="K29" s="6" t="str">
        <x:v>H: Salud técnica del sprint</x:v>
      </x:c>
      <x:c r="L29" s="6" t="str">
        <x:v>Must</x:v>
      </x:c>
      <x:c r="M29" s="6" t="str">
        <x:v>Media</x:v>
      </x:c>
      <x:c r="N29" s="7" t="str">
        <x:v>Variables de entorno y ejemplo de configuración.</x:v>
      </x:c>
      <x:c r="O29" s="7" t="str">
        <x:v>El mismo frontend puede apuntar al entorno local o al gateway.</x:v>
      </x:c>
      <x:c r="P29" s="7" t="str">
        <x:v>Kong conserva prefijos incompatibles y Compose no levanta las ocho APIs.</x:v>
      </x:c>
      <x:c r="Q29" s="8" t="n">
        <x:v>60</x:v>
      </x:c>
      <x:c r="R29" s="6" t="str">
        <x:v>Planificada</x:v>
      </x:c>
    </x:row>
    <x:row r="30" ht="82" customHeight="1">
      <x:c r="A30" s="7" t="str">
        <x:v>Añadir TypeScript al gate CI</x:v>
      </x:c>
      <x:c r="B30" s="7" t="str">
        <x:v>Objetivo: Ejecutar npm ci y tsc --noEmit antes del empaquetado Electron.
Entrega verificable: Workflow que falla ante errores de tipos.
Aceptación: El error actual de TenantConfig queda detectado por CI hasta corregirse.
Prioridad MoSCoW: Must. Dificultad: Media. Meta: Salud técnica del sprint.
Hallazgo o necesidad: Kong conserva prefijos incompatibles y Compose no levanta las ocho APIs.</x:v>
      </x:c>
      <x:c r="C30" s="6" t="str">
        <x:v>dleiva2024</x:v>
      </x:c>
      <x:c r="D30" s="6" t="str">
        <x:v>Medio</x:v>
      </x:c>
      <x:c r="E30" s="6" t="str">
        <x:v>Sprint 2</x:v>
      </x:c>
      <x:c r="F30" s="6" t="str">
        <x:v>Semana 5</x:v>
      </x:c>
      <x:c r="G30" s="6" t="str">
        <x:v>DevOps</x:v>
      </x:c>
      <x:c r="H30" s="6" t="str">
        <x:v>1h</x:v>
      </x:c>
      <x:c r="I30" s="6" t="str">
        <x:v>S2-029</x:v>
      </x:c>
      <x:c r="J30" s="6" t="str">
        <x:v>Diego</x:v>
      </x:c>
      <x:c r="K30" s="6" t="str">
        <x:v>H: Salud técnica del sprint</x:v>
      </x:c>
      <x:c r="L30" s="6" t="str">
        <x:v>Must</x:v>
      </x:c>
      <x:c r="M30" s="6" t="str">
        <x:v>Media</x:v>
      </x:c>
      <x:c r="N30" s="7" t="str">
        <x:v>Workflow que falla ante errores de tipos.</x:v>
      </x:c>
      <x:c r="O30" s="7" t="str">
        <x:v>El error actual de TenantConfig queda detectado por CI hasta corregirse.</x:v>
      </x:c>
      <x:c r="P30" s="7" t="str">
        <x:v>Kong conserva prefijos incompatibles y Compose no levanta las ocho APIs.</x:v>
      </x:c>
      <x:c r="Q30" s="8" t="n">
        <x:v>60</x:v>
      </x:c>
      <x:c r="R30" s="6" t="str">
        <x:v>Planificada</x:v>
      </x:c>
    </x:row>
    <x:row r="31" ht="82" customHeight="1">
      <x:c r="A31" s="7" t="str">
        <x:v>Documentar arranque reproducible del núcleo</x:v>
      </x:c>
      <x:c r="B31" s="7" t="str">
        <x:v>Objetivo: Describir comandos y orden para PostgreSQL, Kafka, gateway y MS-1 a MS-5 sin afirmar que Compose levanta todos.
Entrega verificable: Guía de arranque y smoke test HTTP.
Aceptación: Una máquina limpia puede llegar a login, catálogo y health de POS con la guía.
Prioridad MoSCoW: Should. Dificultad: Alta. Meta: Salud técnica del sprint.
Hallazgo o necesidad: Kong conserva prefijos incompatibles y Compose no levanta las ocho APIs.</x:v>
      </x:c>
      <x:c r="C31" s="6" t="str">
        <x:v>dleiva2024</x:v>
      </x:c>
      <x:c r="D31" s="6" t="str">
        <x:v>Alta</x:v>
      </x:c>
      <x:c r="E31" s="6" t="str">
        <x:v>Sprint 2</x:v>
      </x:c>
      <x:c r="F31" s="6" t="str">
        <x:v>Semana 5</x:v>
      </x:c>
      <x:c r="G31" s="6" t="str">
        <x:v>DevOps</x:v>
      </x:c>
      <x:c r="H31" s="6" t="str">
        <x:v>1h30m</x:v>
      </x:c>
      <x:c r="I31" s="6" t="str">
        <x:v>S2-030</x:v>
      </x:c>
      <x:c r="J31" s="6" t="str">
        <x:v>Diego</x:v>
      </x:c>
      <x:c r="K31" s="6" t="str">
        <x:v>H: Salud técnica del sprint</x:v>
      </x:c>
      <x:c r="L31" s="6" t="str">
        <x:v>Should</x:v>
      </x:c>
      <x:c r="M31" s="6" t="str">
        <x:v>Alta</x:v>
      </x:c>
      <x:c r="N31" s="7" t="str">
        <x:v>Guía de arranque y smoke test HTTP.</x:v>
      </x:c>
      <x:c r="O31" s="7" t="str">
        <x:v>Una máquina limpia puede llegar a login, catálogo y health de POS con la guía.</x:v>
      </x:c>
      <x:c r="P31" s="7" t="str">
        <x:v>Kong conserva prefijos incompatibles y Compose no levanta las ocho APIs.</x:v>
      </x:c>
      <x:c r="Q31" s="8" t="n">
        <x:v>90</x:v>
      </x:c>
      <x:c r="R31" s="6" t="str">
        <x:v>Planificada</x:v>
      </x:c>
    </x:row>
    <x:row r="32" ht="82" customHeight="1">
      <x:c r="A32" s="7" t="str">
        <x:v>Definir contrato de pasarela simulada</x:v>
      </x:c>
      <x:c r="B32" s="7" t="str">
        <x:v>Objetivo: Modelar autorización, rechazo, timeout, referencia y moneda sin PAN ni datos sensibles.
Entrega verificable: IPaymentGatewayClient y DTOs de request y respuesta.
Aceptación: El contrato solo transporta referencia opaca de pago.
Prioridad MoSCoW: Must. Dificultad: Baja. Meta: Cobro con tarjeta simulado.
Hallazgo o necesidad: No existe una pasarela para pagos con tarjeta.</x:v>
      </x:c>
      <x:c r="C32" s="6" t="str">
        <x:v>spereda2024</x:v>
      </x:c>
      <x:c r="D32" s="6" t="str">
        <x:v>Facil</x:v>
      </x:c>
      <x:c r="E32" s="6" t="str">
        <x:v>Sprint 2</x:v>
      </x:c>
      <x:c r="F32" s="6" t="str">
        <x:v>Semana 6</x:v>
      </x:c>
      <x:c r="G32" s="6" t="str">
        <x:v>Backend</x:v>
      </x:c>
      <x:c r="H32" s="6" t="str">
        <x:v>30m</x:v>
      </x:c>
      <x:c r="I32" s="6" t="str">
        <x:v>S2-031</x:v>
      </x:c>
      <x:c r="J32" s="6" t="str">
        <x:v>Sebastián</x:v>
      </x:c>
      <x:c r="K32" s="6" t="str">
        <x:v>G3: Cobro con tarjeta simulado</x:v>
      </x:c>
      <x:c r="L32" s="6" t="str">
        <x:v>Must</x:v>
      </x:c>
      <x:c r="M32" s="6" t="str">
        <x:v>Baja</x:v>
      </x:c>
      <x:c r="N32" s="7" t="str">
        <x:v>IPaymentGatewayClient y DTOs de request y respuesta.</x:v>
      </x:c>
      <x:c r="O32" s="7" t="str">
        <x:v>El contrato solo transporta referencia opaca de pago.</x:v>
      </x:c>
      <x:c r="P32" s="7" t="str">
        <x:v>No existe una pasarela para pagos con tarjeta.</x:v>
      </x:c>
      <x:c r="Q32" s="8" t="n">
        <x:v>30</x:v>
      </x:c>
      <x:c r="R32" s="6" t="str">
        <x:v>Planificada</x:v>
      </x:c>
    </x:row>
    <x:row r="33" ht="82" customHeight="1">
      <x:c r="A33" s="7" t="str">
        <x:v>Agregar persistencia de intento de tarjeta</x:v>
      </x:c>
      <x:c r="B33" s="7" t="str">
        <x:v>Objetivo: Guardar idempotency key, estado, monto y referencia por venta y tenant.
Entrega verificable: Entidad y migración para intentos de pago.
Aceptación: Reintentar una petición con la misma clave no crea dos cargos.
Prioridad MoSCoW: Must. Dificultad: Media. Meta: Cobro con tarjeta simulado.
Hallazgo o necesidad: No existe una pasarela para pagos con tarjeta.</x:v>
      </x:c>
      <x:c r="C33" s="6" t="str">
        <x:v>spereda2024</x:v>
      </x:c>
      <x:c r="D33" s="6" t="str">
        <x:v>Medio</x:v>
      </x:c>
      <x:c r="E33" s="6" t="str">
        <x:v>Sprint 2</x:v>
      </x:c>
      <x:c r="F33" s="6" t="str">
        <x:v>Semana 6</x:v>
      </x:c>
      <x:c r="G33" s="6" t="str">
        <x:v>Backend</x:v>
      </x:c>
      <x:c r="H33" s="6" t="str">
        <x:v>1h</x:v>
      </x:c>
      <x:c r="I33" s="6" t="str">
        <x:v>S2-032</x:v>
      </x:c>
      <x:c r="J33" s="6" t="str">
        <x:v>Sebastián</x:v>
      </x:c>
      <x:c r="K33" s="6" t="str">
        <x:v>G3: Cobro con tarjeta simulado</x:v>
      </x:c>
      <x:c r="L33" s="6" t="str">
        <x:v>Must</x:v>
      </x:c>
      <x:c r="M33" s="6" t="str">
        <x:v>Media</x:v>
      </x:c>
      <x:c r="N33" s="7" t="str">
        <x:v>Entidad y migración para intentos de pago.</x:v>
      </x:c>
      <x:c r="O33" s="7" t="str">
        <x:v>Reintentar una petición con la misma clave no crea dos cargos.</x:v>
      </x:c>
      <x:c r="P33" s="7" t="str">
        <x:v>No existe una pasarela para pagos con tarjeta.</x:v>
      </x:c>
      <x:c r="Q33" s="8" t="n">
        <x:v>60</x:v>
      </x:c>
      <x:c r="R33" s="6" t="str">
        <x:v>Planificada</x:v>
      </x:c>
    </x:row>
    <x:row r="34" ht="82" customHeight="1">
      <x:c r="A34" s="7" t="str">
        <x:v>Crear endpoint cobrar-tarjeta</x:v>
      </x:c>
      <x:c r="B34" s="7" t="str">
        <x:v>Objetivo: Validar JWT, tenant, turno, venta PENDIENTE y total antes de llamar al cliente de pasarela.
Entrega verificable: Endpoint POST /ventas/{id}/cobrar-tarjeta.
Aceptación: Una venta ajena o completada no llama a la pasarela.
Prioridad MoSCoW: Must. Dificultad: Media. Meta: Cobro con tarjeta simulado.
Hallazgo o necesidad: No existe una pasarela para pagos con tarjeta.</x:v>
      </x:c>
      <x:c r="C34" s="6" t="str">
        <x:v>spereda2024</x:v>
      </x:c>
      <x:c r="D34" s="6" t="str">
        <x:v>Medio</x:v>
      </x:c>
      <x:c r="E34" s="6" t="str">
        <x:v>Sprint 2</x:v>
      </x:c>
      <x:c r="F34" s="6" t="str">
        <x:v>Semana 6</x:v>
      </x:c>
      <x:c r="G34" s="6" t="str">
        <x:v>Backend</x:v>
      </x:c>
      <x:c r="H34" s="6" t="str">
        <x:v>1h</x:v>
      </x:c>
      <x:c r="I34" s="6" t="str">
        <x:v>S2-033</x:v>
      </x:c>
      <x:c r="J34" s="6" t="str">
        <x:v>Sebastián</x:v>
      </x:c>
      <x:c r="K34" s="6" t="str">
        <x:v>G3: Cobro con tarjeta simulado</x:v>
      </x:c>
      <x:c r="L34" s="6" t="str">
        <x:v>Must</x:v>
      </x:c>
      <x:c r="M34" s="6" t="str">
        <x:v>Media</x:v>
      </x:c>
      <x:c r="N34" s="7" t="str">
        <x:v>Endpoint POST /ventas/{id}/cobrar-tarjeta.</x:v>
      </x:c>
      <x:c r="O34" s="7" t="str">
        <x:v>Una venta ajena o completada no llama a la pasarela.</x:v>
      </x:c>
      <x:c r="P34" s="7" t="str">
        <x:v>No existe una pasarela para pagos con tarjeta.</x:v>
      </x:c>
      <x:c r="Q34" s="8" t="n">
        <x:v>60</x:v>
      </x:c>
      <x:c r="R34" s="6" t="str">
        <x:v>Planificada</x:v>
      </x:c>
    </x:row>
    <x:row r="35" ht="82" customHeight="1">
      <x:c r="A35" s="7" t="str">
        <x:v>Persistir aprobación y rechazo</x:v>
      </x:c>
      <x:c r="B35" s="7" t="str">
        <x:v>Objetivo: Completar venta solo ante autorización; conservar PENDIENTE si se rechaza o agota el tiempo.
Entrega verificable: Estados HTTP y Pago TARJETA con referencia.
Aceptación: El rechazo no genera sale.completed ni Pago aprobado.
Prioridad MoSCoW: Must. Dificultad: Media. Meta: Cobro con tarjeta simulado.
Hallazgo o necesidad: No existe una pasarela para pagos con tarjeta.</x:v>
      </x:c>
      <x:c r="C35" s="6" t="str">
        <x:v>spereda2024</x:v>
      </x:c>
      <x:c r="D35" s="6" t="str">
        <x:v>Medio</x:v>
      </x:c>
      <x:c r="E35" s="6" t="str">
        <x:v>Sprint 2</x:v>
      </x:c>
      <x:c r="F35" s="6" t="str">
        <x:v>Semana 6</x:v>
      </x:c>
      <x:c r="G35" s="6" t="str">
        <x:v>Backend</x:v>
      </x:c>
      <x:c r="H35" s="6" t="str">
        <x:v>1h</x:v>
      </x:c>
      <x:c r="I35" s="6" t="str">
        <x:v>S2-034</x:v>
      </x:c>
      <x:c r="J35" s="6" t="str">
        <x:v>Sebastián</x:v>
      </x:c>
      <x:c r="K35" s="6" t="str">
        <x:v>G3: Cobro con tarjeta simulado</x:v>
      </x:c>
      <x:c r="L35" s="6" t="str">
        <x:v>Must</x:v>
      </x:c>
      <x:c r="M35" s="6" t="str">
        <x:v>Media</x:v>
      </x:c>
      <x:c r="N35" s="7" t="str">
        <x:v>Estados HTTP y Pago TARJETA con referencia.</x:v>
      </x:c>
      <x:c r="O35" s="7" t="str">
        <x:v>El rechazo no genera sale.completed ni Pago aprobado.</x:v>
      </x:c>
      <x:c r="P35" s="7" t="str">
        <x:v>No existe una pasarela para pagos con tarjeta.</x:v>
      </x:c>
      <x:c r="Q35" s="8" t="n">
        <x:v>60</x:v>
      </x:c>
      <x:c r="R35" s="6" t="str">
        <x:v>Planificada</x:v>
      </x:c>
    </x:row>
    <x:row r="36" ht="82" customHeight="1">
      <x:c r="A36" s="7" t="str">
        <x:v>Probar cobro seguro e idempotente</x:v>
      </x:c>
      <x:c r="B36" s="7" t="str">
        <x:v>Objetivo: Cubrir aprobado, rechazado, timeout y repetición de la misma clave de pago.
Entrega verificable: Pruebas de integración de MS-5 con pasarela simulada.
Aceptación: No se duplica el cargo ni se completa la venta ante respuesta incierta.
Prioridad MoSCoW: Must. Dificultad: Alta. Meta: Cobro con tarjeta simulado.
Hallazgo o necesidad: No existe una pasarela para pagos con tarjeta.</x:v>
      </x:c>
      <x:c r="C36" s="6" t="str">
        <x:v>spereda2024</x:v>
      </x:c>
      <x:c r="D36" s="6" t="str">
        <x:v>Alta</x:v>
      </x:c>
      <x:c r="E36" s="6" t="str">
        <x:v>Sprint 2</x:v>
      </x:c>
      <x:c r="F36" s="6" t="str">
        <x:v>Semana 6</x:v>
      </x:c>
      <x:c r="G36" s="6" t="str">
        <x:v>Backend</x:v>
      </x:c>
      <x:c r="H36" s="6" t="str">
        <x:v>1h30m</x:v>
      </x:c>
      <x:c r="I36" s="6" t="str">
        <x:v>S2-035</x:v>
      </x:c>
      <x:c r="J36" s="6" t="str">
        <x:v>Sebastián</x:v>
      </x:c>
      <x:c r="K36" s="6" t="str">
        <x:v>G3: Cobro con tarjeta simulado</x:v>
      </x:c>
      <x:c r="L36" s="6" t="str">
        <x:v>Must</x:v>
      </x:c>
      <x:c r="M36" s="6" t="str">
        <x:v>Alta</x:v>
      </x:c>
      <x:c r="N36" s="7" t="str">
        <x:v>Pruebas de integración de MS-5 con pasarela simulada.</x:v>
      </x:c>
      <x:c r="O36" s="7" t="str">
        <x:v>No se duplica el cargo ni se completa la venta ante respuesta incierta.</x:v>
      </x:c>
      <x:c r="P36" s="7" t="str">
        <x:v>No existe una pasarela para pagos con tarjeta.</x:v>
      </x:c>
      <x:c r="Q36" s="8" t="n">
        <x:v>90</x:v>
      </x:c>
      <x:c r="R36" s="6" t="str">
        <x:v>Planificada</x:v>
      </x:c>
    </x:row>
    <x:row r="37" ht="82" customHeight="1">
      <x:c r="A37" s="7" t="str">
        <x:v>Definir escenarios controlables del simulador</x:v>
      </x:c>
      <x:c r="B37" s="7" t="str">
        <x:v>Objetivo: Especificar respuestas aprobado, rechazado y timeout mediante identificadores de prueba no sensibles.
Entrega verificable: Tabla de escenarios y payloads del simulador.
Aceptación: Cada escenario es reproducible sin tarjeta real.
Prioridad MoSCoW: Must. Dificultad: Baja. Meta: Cobro con tarjeta simulado.
Hallazgo o necesidad: El pago con tarjeta debe pasar por pasarela y producir trazas auditables.</x:v>
      </x:c>
      <x:c r="C37" s="6" t="str">
        <x:v>nmartinez2024</x:v>
      </x:c>
      <x:c r="D37" s="6" t="str">
        <x:v>Facil</x:v>
      </x:c>
      <x:c r="E37" s="6" t="str">
        <x:v>Sprint 2</x:v>
      </x:c>
      <x:c r="F37" s="6" t="str">
        <x:v>Semana 6</x:v>
      </x:c>
      <x:c r="G37" s="6" t="str">
        <x:v>Backend</x:v>
      </x:c>
      <x:c r="H37" s="6" t="str">
        <x:v>30m</x:v>
      </x:c>
      <x:c r="I37" s="6" t="str">
        <x:v>S2-036</x:v>
      </x:c>
      <x:c r="J37" s="6" t="str">
        <x:v>Nicolás</x:v>
      </x:c>
      <x:c r="K37" s="6" t="str">
        <x:v>G3: Cobro con tarjeta simulado</x:v>
      </x:c>
      <x:c r="L37" s="6" t="str">
        <x:v>Must</x:v>
      </x:c>
      <x:c r="M37" s="6" t="str">
        <x:v>Baja</x:v>
      </x:c>
      <x:c r="N37" s="7" t="str">
        <x:v>Tabla de escenarios y payloads del simulador.</x:v>
      </x:c>
      <x:c r="O37" s="7" t="str">
        <x:v>Cada escenario es reproducible sin tarjeta real.</x:v>
      </x:c>
      <x:c r="P37" s="7" t="str">
        <x:v>El pago con tarjeta debe pasar por pasarela y producir trazas auditables.</x:v>
      </x:c>
      <x:c r="Q37" s="8" t="n">
        <x:v>30</x:v>
      </x:c>
      <x:c r="R37" s="6" t="str">
        <x:v>Planificada</x:v>
      </x:c>
    </x:row>
    <x:row r="38" ht="82" customHeight="1">
      <x:c r="A38" s="7" t="str">
        <x:v>Implementar adaptador HTTP de pasarela</x:v>
      </x:c>
      <x:c r="B38" s="7" t="str">
        <x:v>Objetivo: Crear cliente con URL configurable, timeout explícito y propagación de idempotency key.
Entrega verificable: Adaptador que implementa IPaymentGatewayClient.
Aceptación: No registra ni transmite datos de tarjeta al backend local.
Prioridad MoSCoW: Must. Dificultad: Media. Meta: Cobro con tarjeta simulado.
Hallazgo o necesidad: El pago con tarjeta debe pasar por pasarela y producir trazas auditables.</x:v>
      </x:c>
      <x:c r="C38" s="6" t="str">
        <x:v>nmartinez2024</x:v>
      </x:c>
      <x:c r="D38" s="6" t="str">
        <x:v>Medio</x:v>
      </x:c>
      <x:c r="E38" s="6" t="str">
        <x:v>Sprint 2</x:v>
      </x:c>
      <x:c r="F38" s="6" t="str">
        <x:v>Semana 6</x:v>
      </x:c>
      <x:c r="G38" s="6" t="str">
        <x:v>Backend</x:v>
      </x:c>
      <x:c r="H38" s="6" t="str">
        <x:v>1h</x:v>
      </x:c>
      <x:c r="I38" s="6" t="str">
        <x:v>S2-037</x:v>
      </x:c>
      <x:c r="J38" s="6" t="str">
        <x:v>Nicolás</x:v>
      </x:c>
      <x:c r="K38" s="6" t="str">
        <x:v>G3: Cobro con tarjeta simulado</x:v>
      </x:c>
      <x:c r="L38" s="6" t="str">
        <x:v>Must</x:v>
      </x:c>
      <x:c r="M38" s="6" t="str">
        <x:v>Media</x:v>
      </x:c>
      <x:c r="N38" s="7" t="str">
        <x:v>Adaptador que implementa IPaymentGatewayClient.</x:v>
      </x:c>
      <x:c r="O38" s="7" t="str">
        <x:v>No registra ni transmite datos de tarjeta al backend local.</x:v>
      </x:c>
      <x:c r="P38" s="7" t="str">
        <x:v>El pago con tarjeta debe pasar por pasarela y producir trazas auditables.</x:v>
      </x:c>
      <x:c r="Q38" s="8" t="n">
        <x:v>60</x:v>
      </x:c>
      <x:c r="R38" s="6" t="str">
        <x:v>Planificada</x:v>
      </x:c>
    </x:row>
    <x:row r="39" ht="82" customHeight="1">
      <x:c r="A39" s="7" t="str">
        <x:v>Crear servicio simulador de autorizaciones</x:v>
      </x:c>
      <x:c r="B39" s="7" t="str">
        <x:v>Objetivo: Devolver respuestas deterministas y una referencia opaca para las solicitudes de prueba.
Entrega verificable: Proceso local de pasarela con endpoint de autorización.
Aceptación: Aprobación y rechazo se pueden disparar sin conexión bancaria.
Prioridad MoSCoW: Must. Dificultad: Media. Meta: Cobro con tarjeta simulado.
Hallazgo o necesidad: El pago con tarjeta debe pasar por pasarela y producir trazas auditables.</x:v>
      </x:c>
      <x:c r="C39" s="6" t="str">
        <x:v>nmartinez2024</x:v>
      </x:c>
      <x:c r="D39" s="6" t="str">
        <x:v>Medio</x:v>
      </x:c>
      <x:c r="E39" s="6" t="str">
        <x:v>Sprint 2</x:v>
      </x:c>
      <x:c r="F39" s="6" t="str">
        <x:v>Semana 6</x:v>
      </x:c>
      <x:c r="G39" s="6" t="str">
        <x:v>Backend</x:v>
      </x:c>
      <x:c r="H39" s="6" t="str">
        <x:v>1h</x:v>
      </x:c>
      <x:c r="I39" s="6" t="str">
        <x:v>S2-038</x:v>
      </x:c>
      <x:c r="J39" s="6" t="str">
        <x:v>Nicolás</x:v>
      </x:c>
      <x:c r="K39" s="6" t="str">
        <x:v>G3: Cobro con tarjeta simulado</x:v>
      </x:c>
      <x:c r="L39" s="6" t="str">
        <x:v>Must</x:v>
      </x:c>
      <x:c r="M39" s="6" t="str">
        <x:v>Media</x:v>
      </x:c>
      <x:c r="N39" s="7" t="str">
        <x:v>Proceso local de pasarela con endpoint de autorización.</x:v>
      </x:c>
      <x:c r="O39" s="7" t="str">
        <x:v>Aprobación y rechazo se pueden disparar sin conexión bancaria.</x:v>
      </x:c>
      <x:c r="P39" s="7" t="str">
        <x:v>El pago con tarjeta debe pasar por pasarela y producir trazas auditables.</x:v>
      </x:c>
      <x:c r="Q39" s="8" t="n">
        <x:v>60</x:v>
      </x:c>
      <x:c r="R39" s="6" t="str">
        <x:v>Planificada</x:v>
      </x:c>
    </x:row>
    <x:row r="40" ht="82" customHeight="1">
      <x:c r="A40" s="7" t="str">
        <x:v>Evitar reintento inseguro de cobro</x:v>
      </x:c>
      <x:c r="B40" s="7" t="str">
        <x:v>Objetivo: Distinguir timeout de rechazo y consultar estado por clave antes de un nuevo intento de autorización.
Entrega verificable: Política de reintento y consulta al simulador.
Aceptación: Un timeout no provoca automáticamente un segundo cargo.
Prioridad MoSCoW: Must. Dificultad: Media. Meta: Cobro con tarjeta simulado.
Hallazgo o necesidad: El pago con tarjeta debe pasar por pasarela y producir trazas auditables.</x:v>
      </x:c>
      <x:c r="C40" s="6" t="str">
        <x:v>nmartinez2024</x:v>
      </x:c>
      <x:c r="D40" s="6" t="str">
        <x:v>Medio</x:v>
      </x:c>
      <x:c r="E40" s="6" t="str">
        <x:v>Sprint 2</x:v>
      </x:c>
      <x:c r="F40" s="6" t="str">
        <x:v>Semana 6</x:v>
      </x:c>
      <x:c r="G40" s="6" t="str">
        <x:v>Backend</x:v>
      </x:c>
      <x:c r="H40" s="6" t="str">
        <x:v>1h</x:v>
      </x:c>
      <x:c r="I40" s="6" t="str">
        <x:v>S2-039</x:v>
      </x:c>
      <x:c r="J40" s="6" t="str">
        <x:v>Nicolás</x:v>
      </x:c>
      <x:c r="K40" s="6" t="str">
        <x:v>G3: Cobro con tarjeta simulado</x:v>
      </x:c>
      <x:c r="L40" s="6" t="str">
        <x:v>Must</x:v>
      </x:c>
      <x:c r="M40" s="6" t="str">
        <x:v>Media</x:v>
      </x:c>
      <x:c r="N40" s="7" t="str">
        <x:v>Política de reintento y consulta al simulador.</x:v>
      </x:c>
      <x:c r="O40" s="7" t="str">
        <x:v>Un timeout no provoca automáticamente un segundo cargo.</x:v>
      </x:c>
      <x:c r="P40" s="7" t="str">
        <x:v>El pago con tarjeta debe pasar por pasarela y producir trazas auditables.</x:v>
      </x:c>
      <x:c r="Q40" s="8" t="n">
        <x:v>60</x:v>
      </x:c>
      <x:c r="R40" s="6" t="str">
        <x:v>Planificada</x:v>
      </x:c>
    </x:row>
    <x:row r="41" ht="82" customHeight="1">
      <x:c r="A41" s="7" t="str">
        <x:v>Probar secuencia de pago y evento</x:v>
      </x:c>
      <x:c r="B41" s="7" t="str">
        <x:v>Objetivo: Confirmar que solo la aprobación persiste Pago TARJETA y deja sale.completed en outbox.
Entrega verificable: Pruebas de contrato y de integración.
Aceptación: La referencia de pasarela coincide entre Pago y resultado mostrado.
Prioridad MoSCoW: Must. Dificultad: Alta. Meta: Cobro con tarjeta simulado.
Hallazgo o necesidad: El pago con tarjeta debe pasar por pasarela y producir trazas auditables.</x:v>
      </x:c>
      <x:c r="C41" s="6" t="str">
        <x:v>nmartinez2024</x:v>
      </x:c>
      <x:c r="D41" s="6" t="str">
        <x:v>Alta</x:v>
      </x:c>
      <x:c r="E41" s="6" t="str">
        <x:v>Sprint 2</x:v>
      </x:c>
      <x:c r="F41" s="6" t="str">
        <x:v>Semana 6</x:v>
      </x:c>
      <x:c r="G41" s="6" t="str">
        <x:v>Backend</x:v>
      </x:c>
      <x:c r="H41" s="6" t="str">
        <x:v>1h30m</x:v>
      </x:c>
      <x:c r="I41" s="6" t="str">
        <x:v>S2-040</x:v>
      </x:c>
      <x:c r="J41" s="6" t="str">
        <x:v>Nicolás</x:v>
      </x:c>
      <x:c r="K41" s="6" t="str">
        <x:v>G3: Cobro con tarjeta simulado</x:v>
      </x:c>
      <x:c r="L41" s="6" t="str">
        <x:v>Must</x:v>
      </x:c>
      <x:c r="M41" s="6" t="str">
        <x:v>Alta</x:v>
      </x:c>
      <x:c r="N41" s="7" t="str">
        <x:v>Pruebas de contrato y de integración.</x:v>
      </x:c>
      <x:c r="O41" s="7" t="str">
        <x:v>La referencia de pasarela coincide entre Pago y resultado mostrado.</x:v>
      </x:c>
      <x:c r="P41" s="7" t="str">
        <x:v>El pago con tarjeta debe pasar por pasarela y producir trazas auditables.</x:v>
      </x:c>
      <x:c r="Q41" s="8" t="n">
        <x:v>90</x:v>
      </x:c>
      <x:c r="R41" s="6" t="str">
        <x:v>Planificada</x:v>
      </x:c>
    </x:row>
    <x:row r="42" ht="82" customHeight="1">
      <x:c r="A42" s="7" t="str">
        <x:v>Definir estados y permisos Admin</x:v>
      </x:c>
      <x:c r="B42" s="7" t="str">
        <x:v>Objetivo: Precisar qué puede ver o cambiar ADMIN y cómo se trata usuario inactivo.
Entrega verificable: Contrato de pantalla y errores para edición y baja.
Aceptación: La UI no ofrece acciones administrativas a CAJERO.
Prioridad MoSCoW: Must. Dificultad: Baja. Meta: Página Administración.
Hallazgo o necesidad: Administración tiene listado y creación, pero falta editar y desactivar usuarios.</x:v>
      </x:c>
      <x:c r="C42" s="6" t="str">
        <x:v>msanhueza2024</x:v>
      </x:c>
      <x:c r="D42" s="6" t="str">
        <x:v>Facil</x:v>
      </x:c>
      <x:c r="E42" s="6" t="str">
        <x:v>Sprint 2</x:v>
      </x:c>
      <x:c r="F42" s="6" t="str">
        <x:v>Semana 6</x:v>
      </x:c>
      <x:c r="G42" s="6" t="str">
        <x:v>Frontend</x:v>
      </x:c>
      <x:c r="H42" s="6" t="str">
        <x:v>30m</x:v>
      </x:c>
      <x:c r="I42" s="6" t="str">
        <x:v>S2-041</x:v>
      </x:c>
      <x:c r="J42" s="6" t="str">
        <x:v>Martín</x:v>
      </x:c>
      <x:c r="K42" s="6" t="str">
        <x:v>G1: Página Administración</x:v>
      </x:c>
      <x:c r="L42" s="6" t="str">
        <x:v>Must</x:v>
      </x:c>
      <x:c r="M42" s="6" t="str">
        <x:v>Baja</x:v>
      </x:c>
      <x:c r="N42" s="7" t="str">
        <x:v>Contrato de pantalla y errores para edición y baja.</x:v>
      </x:c>
      <x:c r="O42" s="7" t="str">
        <x:v>La UI no ofrece acciones administrativas a CAJERO.</x:v>
      </x:c>
      <x:c r="P42" s="7" t="str">
        <x:v>Administración tiene listado y creación, pero falta editar y desactivar usuarios.</x:v>
      </x:c>
      <x:c r="Q42" s="8" t="n">
        <x:v>30</x:v>
      </x:c>
      <x:c r="R42" s="6" t="str">
        <x:v>Planificada</x:v>
      </x:c>
    </x:row>
    <x:row r="43" ht="82" customHeight="1">
      <x:c r="A43" s="7" t="str">
        <x:v>Implementar edición de usuario</x:v>
      </x:c>
      <x:c r="B43" s="7" t="str">
        <x:v>Objetivo: Crear formulario precargado que actualiza datos básicos mediante PUT /users/{id}.
Entrega verificable: Modal de edición con validación y feedback.
Aceptación: La lista refleja el cambio sin crear un usuario nuevo.
Prioridad MoSCoW: Must. Dificultad: Media. Meta: Página Administración.
Hallazgo o necesidad: Administración tiene listado y creación, pero falta editar y desactivar usuarios.</x:v>
      </x:c>
      <x:c r="C43" s="6" t="str">
        <x:v>msanhueza2024</x:v>
      </x:c>
      <x:c r="D43" s="6" t="str">
        <x:v>Medio</x:v>
      </x:c>
      <x:c r="E43" s="6" t="str">
        <x:v>Sprint 2</x:v>
      </x:c>
      <x:c r="F43" s="6" t="str">
        <x:v>Semana 6</x:v>
      </x:c>
      <x:c r="G43" s="6" t="str">
        <x:v>Frontend</x:v>
      </x:c>
      <x:c r="H43" s="6" t="str">
        <x:v>1h</x:v>
      </x:c>
      <x:c r="I43" s="6" t="str">
        <x:v>S2-042</x:v>
      </x:c>
      <x:c r="J43" s="6" t="str">
        <x:v>Martín</x:v>
      </x:c>
      <x:c r="K43" s="6" t="str">
        <x:v>G1: Página Administración</x:v>
      </x:c>
      <x:c r="L43" s="6" t="str">
        <x:v>Must</x:v>
      </x:c>
      <x:c r="M43" s="6" t="str">
        <x:v>Media</x:v>
      </x:c>
      <x:c r="N43" s="7" t="str">
        <x:v>Modal de edición con validación y feedback.</x:v>
      </x:c>
      <x:c r="O43" s="7" t="str">
        <x:v>La lista refleja el cambio sin crear un usuario nuevo.</x:v>
      </x:c>
      <x:c r="P43" s="7" t="str">
        <x:v>Administración tiene listado y creación, pero falta editar y desactivar usuarios.</x:v>
      </x:c>
      <x:c r="Q43" s="8" t="n">
        <x:v>60</x:v>
      </x:c>
      <x:c r="R43" s="6" t="str">
        <x:v>Planificada</x:v>
      </x:c>
    </x:row>
    <x:row r="44" ht="82" customHeight="1">
      <x:c r="A44" s="7" t="str">
        <x:v>Implementar desactivación de usuario</x:v>
      </x:c>
      <x:c r="B44" s="7" t="str">
        <x:v>Objetivo: Agregar confirmación y llamada a DELETE /users/{id} con manejo de autodesactivación y 404.
Entrega verificable: Acción de baja lógica en UsuariosList.
Aceptación: El usuario queda inactivo en la lista y no desaparece de la auditoría.
Prioridad MoSCoW: Must. Dificultad: Media. Meta: Página Administración.
Hallazgo o necesidad: Administración tiene listado y creación, pero falta editar y desactivar usuarios.</x:v>
      </x:c>
      <x:c r="C44" s="6" t="str">
        <x:v>msanhueza2024</x:v>
      </x:c>
      <x:c r="D44" s="6" t="str">
        <x:v>Medio</x:v>
      </x:c>
      <x:c r="E44" s="6" t="str">
        <x:v>Sprint 2</x:v>
      </x:c>
      <x:c r="F44" s="6" t="str">
        <x:v>Semana 6</x:v>
      </x:c>
      <x:c r="G44" s="6" t="str">
        <x:v>Frontend</x:v>
      </x:c>
      <x:c r="H44" s="6" t="str">
        <x:v>1h</x:v>
      </x:c>
      <x:c r="I44" s="6" t="str">
        <x:v>S2-043</x:v>
      </x:c>
      <x:c r="J44" s="6" t="str">
        <x:v>Martín</x:v>
      </x:c>
      <x:c r="K44" s="6" t="str">
        <x:v>G1: Página Administración</x:v>
      </x:c>
      <x:c r="L44" s="6" t="str">
        <x:v>Must</x:v>
      </x:c>
      <x:c r="M44" s="6" t="str">
        <x:v>Media</x:v>
      </x:c>
      <x:c r="N44" s="7" t="str">
        <x:v>Acción de baja lógica en UsuariosList.</x:v>
      </x:c>
      <x:c r="O44" s="7" t="str">
        <x:v>El usuario queda inactivo en la lista y no desaparece de la auditoría.</x:v>
      </x:c>
      <x:c r="P44" s="7" t="str">
        <x:v>Administración tiene listado y creación, pero falta editar y desactivar usuarios.</x:v>
      </x:c>
      <x:c r="Q44" s="8" t="n">
        <x:v>60</x:v>
      </x:c>
      <x:c r="R44" s="6" t="str">
        <x:v>Planificada</x:v>
      </x:c>
    </x:row>
    <x:row r="45" ht="82" customHeight="1">
      <x:c r="A45" s="7" t="str">
        <x:v>Ajustar configuración y rol activo</x:v>
      </x:c>
      <x:c r="B45" s="7" t="str">
        <x:v>Objetivo: Mostrar permiso de edición solo a ADMIN y conservar feedback de guardado de configuración del tenant.
Entrega verificable: Página Admin coherente con roles y estado de carga.
Aceptación: CAJERO recibe acceso denegado y ADMIN puede guardar IVA.
Prioridad MoSCoW: Must. Dificultad: Media. Meta: Página Administración.
Hallazgo o necesidad: Administración tiene listado y creación, pero falta editar y desactivar usuarios.</x:v>
      </x:c>
      <x:c r="C45" s="6" t="str">
        <x:v>msanhueza2024</x:v>
      </x:c>
      <x:c r="D45" s="6" t="str">
        <x:v>Medio</x:v>
      </x:c>
      <x:c r="E45" s="6" t="str">
        <x:v>Sprint 2</x:v>
      </x:c>
      <x:c r="F45" s="6" t="str">
        <x:v>Semana 6</x:v>
      </x:c>
      <x:c r="G45" s="6" t="str">
        <x:v>Frontend</x:v>
      </x:c>
      <x:c r="H45" s="6" t="str">
        <x:v>1h</x:v>
      </x:c>
      <x:c r="I45" s="6" t="str">
        <x:v>S2-044</x:v>
      </x:c>
      <x:c r="J45" s="6" t="str">
        <x:v>Martín</x:v>
      </x:c>
      <x:c r="K45" s="6" t="str">
        <x:v>G1: Página Administración</x:v>
      </x:c>
      <x:c r="L45" s="6" t="str">
        <x:v>Must</x:v>
      </x:c>
      <x:c r="M45" s="6" t="str">
        <x:v>Media</x:v>
      </x:c>
      <x:c r="N45" s="7" t="str">
        <x:v>Página Admin coherente con roles y estado de carga.</x:v>
      </x:c>
      <x:c r="O45" s="7" t="str">
        <x:v>CAJERO recibe acceso denegado y ADMIN puede guardar IVA.</x:v>
      </x:c>
      <x:c r="P45" s="7" t="str">
        <x:v>Administración tiene listado y creación, pero falta editar y desactivar usuarios.</x:v>
      </x:c>
      <x:c r="Q45" s="8" t="n">
        <x:v>60</x:v>
      </x:c>
      <x:c r="R45" s="6" t="str">
        <x:v>Planificada</x:v>
      </x:c>
    </x:row>
    <x:row r="46" ht="82" customHeight="1">
      <x:c r="A46" s="7" t="str">
        <x:v>Probar flujos Admin en interfaz</x:v>
      </x:c>
      <x:c r="B46" s="7" t="str">
        <x:v>Objetivo: Ejecutar alta, edición, baja y cambio de configuración con respuestas reales o fixtures HTTP.
Entrega verificable: Pruebas de componentes o E2E de Admin.
Aceptación: Errores 400, 403 y 409 se explican sin perder datos del formulario.
Prioridad MoSCoW: Must. Dificultad: Alta. Meta: Página Administración.
Hallazgo o necesidad: Administración tiene listado y creación, pero falta editar y desactivar usuarios.</x:v>
      </x:c>
      <x:c r="C46" s="6" t="str">
        <x:v>msanhueza2024</x:v>
      </x:c>
      <x:c r="D46" s="6" t="str">
        <x:v>Alta</x:v>
      </x:c>
      <x:c r="E46" s="6" t="str">
        <x:v>Sprint 2</x:v>
      </x:c>
      <x:c r="F46" s="6" t="str">
        <x:v>Semana 6</x:v>
      </x:c>
      <x:c r="G46" s="6" t="str">
        <x:v>Frontend</x:v>
      </x:c>
      <x:c r="H46" s="6" t="str">
        <x:v>1h30m</x:v>
      </x:c>
      <x:c r="I46" s="6" t="str">
        <x:v>S2-045</x:v>
      </x:c>
      <x:c r="J46" s="6" t="str">
        <x:v>Martín</x:v>
      </x:c>
      <x:c r="K46" s="6" t="str">
        <x:v>G1: Página Administración</x:v>
      </x:c>
      <x:c r="L46" s="6" t="str">
        <x:v>Must</x:v>
      </x:c>
      <x:c r="M46" s="6" t="str">
        <x:v>Alta</x:v>
      </x:c>
      <x:c r="N46" s="7" t="str">
        <x:v>Pruebas de componentes o E2E de Admin.</x:v>
      </x:c>
      <x:c r="O46" s="7" t="str">
        <x:v>Errores 400, 403 y 409 se explican sin perder datos del formulario.</x:v>
      </x:c>
      <x:c r="P46" s="7" t="str">
        <x:v>Administración tiene listado y creación, pero falta editar y desactivar usuarios.</x:v>
      </x:c>
      <x:c r="Q46" s="8" t="n">
        <x:v>90</x:v>
      </x:c>
      <x:c r="R46" s="6" t="str">
        <x:v>Planificada</x:v>
      </x:c>
    </x:row>
    <x:row r="47" ht="82" customHeight="1">
      <x:c r="A47" s="7" t="str">
        <x:v>Definir UX de efectivo y tarjeta</x:v>
      </x:c>
      <x:c r="B47" s="7" t="str">
        <x:v>Objetivo: Dibujar estados disponible, procesando, aprobado, rechazado y resultado incierto sin solicitar datos de tarjeta.
Entrega verificable: Contrato visual del modal de cobro.
Aceptación: Solo se muestra monto y referencia opaca para tarjeta.
Prioridad MoSCoW: Should. Dificultad: Baja. Meta: Cobro con tarjeta simulado.
Hallazgo o necesidad: El botón Cobrar de POS no ejecuta pagos.</x:v>
      </x:c>
      <x:c r="C47" s="6" t="str">
        <x:v>admin</x:v>
      </x:c>
      <x:c r="D47" s="6" t="str">
        <x:v>Facil</x:v>
      </x:c>
      <x:c r="E47" s="6" t="str">
        <x:v>Sprint 2</x:v>
      </x:c>
      <x:c r="F47" s="6" t="str">
        <x:v>Semana 6</x:v>
      </x:c>
      <x:c r="G47" s="6" t="str">
        <x:v>Frontend</x:v>
      </x:c>
      <x:c r="H47" s="6" t="str">
        <x:v>30m</x:v>
      </x:c>
      <x:c r="I47" s="6" t="str">
        <x:v>S2-046</x:v>
      </x:c>
      <x:c r="J47" s="6" t="str">
        <x:v>Rodrigo</x:v>
      </x:c>
      <x:c r="K47" s="6" t="str">
        <x:v>G3: Cobro con tarjeta simulado</x:v>
      </x:c>
      <x:c r="L47" s="6" t="str">
        <x:v>Should</x:v>
      </x:c>
      <x:c r="M47" s="6" t="str">
        <x:v>Baja</x:v>
      </x:c>
      <x:c r="N47" s="7" t="str">
        <x:v>Contrato visual del modal de cobro.</x:v>
      </x:c>
      <x:c r="O47" s="7" t="str">
        <x:v>Solo se muestra monto y referencia opaca para tarjeta.</x:v>
      </x:c>
      <x:c r="P47" s="7" t="str">
        <x:v>El botón Cobrar de POS no ejecuta pagos.</x:v>
      </x:c>
      <x:c r="Q47" s="8" t="n">
        <x:v>30</x:v>
      </x:c>
      <x:c r="R47" s="6" t="str">
        <x:v>Planificada</x:v>
      </x:c>
    </x:row>
    <x:row r="48" ht="82" customHeight="1">
      <x:c r="A48" s="7" t="str">
        <x:v>Conectar cobro en efectivo</x:v>
      </x:c>
      <x:c r="B48" s="7" t="str">
        <x:v>Objetivo: Enviar monto recibido a POST /ventas/{id}/cobrar y mostrar vuelto calculado por MS-5.
Entrega verificable: Modal de efectivo funcional.
Aceptación: Monto insuficiente deja venta pendiente y muestra diferencia.
Prioridad MoSCoW: Must. Dificultad: Media. Meta: Cobro con tarjeta simulado.
Hallazgo o necesidad: El botón Cobrar de POS no ejecuta pagos.</x:v>
      </x:c>
      <x:c r="C48" s="6" t="str">
        <x:v>admin</x:v>
      </x:c>
      <x:c r="D48" s="6" t="str">
        <x:v>Medio</x:v>
      </x:c>
      <x:c r="E48" s="6" t="str">
        <x:v>Sprint 2</x:v>
      </x:c>
      <x:c r="F48" s="6" t="str">
        <x:v>Semana 6</x:v>
      </x:c>
      <x:c r="G48" s="6" t="str">
        <x:v>Frontend</x:v>
      </x:c>
      <x:c r="H48" s="6" t="str">
        <x:v>1h</x:v>
      </x:c>
      <x:c r="I48" s="6" t="str">
        <x:v>S2-047</x:v>
      </x:c>
      <x:c r="J48" s="6" t="str">
        <x:v>Rodrigo</x:v>
      </x:c>
      <x:c r="K48" s="6" t="str">
        <x:v>G3: Cobro con tarjeta simulado</x:v>
      </x:c>
      <x:c r="L48" s="6" t="str">
        <x:v>Must</x:v>
      </x:c>
      <x:c r="M48" s="6" t="str">
        <x:v>Media</x:v>
      </x:c>
      <x:c r="N48" s="7" t="str">
        <x:v>Modal de efectivo funcional.</x:v>
      </x:c>
      <x:c r="O48" s="7" t="str">
        <x:v>Monto insuficiente deja venta pendiente y muestra diferencia.</x:v>
      </x:c>
      <x:c r="P48" s="7" t="str">
        <x:v>El botón Cobrar de POS no ejecuta pagos.</x:v>
      </x:c>
      <x:c r="Q48" s="8" t="n">
        <x:v>60</x:v>
      </x:c>
      <x:c r="R48" s="6" t="str">
        <x:v>Planificada</x:v>
      </x:c>
    </x:row>
    <x:row r="49" ht="82" customHeight="1">
      <x:c r="A49" s="7" t="str">
        <x:v>Conectar cobro con tarjeta</x:v>
      </x:c>
      <x:c r="B49" s="7" t="str">
        <x:v>Objetivo: Llamar a cobrar-tarjeta con clave de idempotencia y mostrar estado de la pasarela simulada.
Entrega verificable: Modal de tarjeta conectado al backend.
Aceptación: Una aprobación cierra el carrito y un rechazo permite cambiar método.
Prioridad MoSCoW: Must. Dificultad: Media. Meta: Cobro con tarjeta simulado.
Hallazgo o necesidad: El botón Cobrar de POS no ejecuta pagos.</x:v>
      </x:c>
      <x:c r="C49" s="6" t="str">
        <x:v>admin</x:v>
      </x:c>
      <x:c r="D49" s="6" t="str">
        <x:v>Medio</x:v>
      </x:c>
      <x:c r="E49" s="6" t="str">
        <x:v>Sprint 2</x:v>
      </x:c>
      <x:c r="F49" s="6" t="str">
        <x:v>Semana 6</x:v>
      </x:c>
      <x:c r="G49" s="6" t="str">
        <x:v>Frontend</x:v>
      </x:c>
      <x:c r="H49" s="6" t="str">
        <x:v>1h</x:v>
      </x:c>
      <x:c r="I49" s="6" t="str">
        <x:v>S2-048</x:v>
      </x:c>
      <x:c r="J49" s="6" t="str">
        <x:v>Rodrigo</x:v>
      </x:c>
      <x:c r="K49" s="6" t="str">
        <x:v>G3: Cobro con tarjeta simulado</x:v>
      </x:c>
      <x:c r="L49" s="6" t="str">
        <x:v>Must</x:v>
      </x:c>
      <x:c r="M49" s="6" t="str">
        <x:v>Media</x:v>
      </x:c>
      <x:c r="N49" s="7" t="str">
        <x:v>Modal de tarjeta conectado al backend.</x:v>
      </x:c>
      <x:c r="O49" s="7" t="str">
        <x:v>Una aprobación cierra el carrito y un rechazo permite cambiar método.</x:v>
      </x:c>
      <x:c r="P49" s="7" t="str">
        <x:v>El botón Cobrar de POS no ejecuta pagos.</x:v>
      </x:c>
      <x:c r="Q49" s="8" t="n">
        <x:v>60</x:v>
      </x:c>
      <x:c r="R49" s="6" t="str">
        <x:v>Planificada</x:v>
      </x:c>
    </x:row>
    <x:row r="50" ht="82" customHeight="1">
      <x:c r="A50" s="7" t="str">
        <x:v>Manejar timeout sin doble cargo</x:v>
      </x:c>
      <x:c r="B50" s="7" t="str">
        <x:v>Objetivo: Bloquear reenvío automático y consultar estado del intento antes de habilitar reintento manual.
Entrega verificable: Estado UI de resultado incierto y recuperación.
Aceptación: El usuario no puede disparar dos autorizaciones por doble clic.
Prioridad MoSCoW: Must. Dificultad: Media. Meta: Cobro con tarjeta simulado.
Hallazgo o necesidad: El botón Cobrar de POS no ejecuta pagos.</x:v>
      </x:c>
      <x:c r="C50" s="6" t="str">
        <x:v>admin</x:v>
      </x:c>
      <x:c r="D50" s="6" t="str">
        <x:v>Medio</x:v>
      </x:c>
      <x:c r="E50" s="6" t="str">
        <x:v>Sprint 2</x:v>
      </x:c>
      <x:c r="F50" s="6" t="str">
        <x:v>Semana 6</x:v>
      </x:c>
      <x:c r="G50" s="6" t="str">
        <x:v>Frontend</x:v>
      </x:c>
      <x:c r="H50" s="6" t="str">
        <x:v>1h</x:v>
      </x:c>
      <x:c r="I50" s="6" t="str">
        <x:v>S2-049</x:v>
      </x:c>
      <x:c r="J50" s="6" t="str">
        <x:v>Rodrigo</x:v>
      </x:c>
      <x:c r="K50" s="6" t="str">
        <x:v>G3: Cobro con tarjeta simulado</x:v>
      </x:c>
      <x:c r="L50" s="6" t="str">
        <x:v>Must</x:v>
      </x:c>
      <x:c r="M50" s="6" t="str">
        <x:v>Media</x:v>
      </x:c>
      <x:c r="N50" s="7" t="str">
        <x:v>Estado UI de resultado incierto y recuperación.</x:v>
      </x:c>
      <x:c r="O50" s="7" t="str">
        <x:v>El usuario no puede disparar dos autorizaciones por doble clic.</x:v>
      </x:c>
      <x:c r="P50" s="7" t="str">
        <x:v>El botón Cobrar de POS no ejecuta pagos.</x:v>
      </x:c>
      <x:c r="Q50" s="8" t="n">
        <x:v>60</x:v>
      </x:c>
      <x:c r="R50" s="6" t="str">
        <x:v>Planificada</x:v>
      </x:c>
    </x:row>
    <x:row r="51" ht="82" customHeight="1">
      <x:c r="A51" s="7" t="str">
        <x:v>Probar estados de pago en POS</x:v>
      </x:c>
      <x:c r="B51" s="7" t="str">
        <x:v>Objetivo: Recorrer efectivo, aprobación, rechazo, timeout y recarga de pantalla con mocks deterministas.
Entrega verificable: Pruebas de UI de cobro.
Aceptación: En ningún estado de rechazo se muestra venta completada.
Prioridad MoSCoW: Must. Dificultad: Alta. Meta: Cobro con tarjeta simulado.
Hallazgo o necesidad: El botón Cobrar de POS no ejecuta pagos.</x:v>
      </x:c>
      <x:c r="C51" s="6" t="str">
        <x:v>admin</x:v>
      </x:c>
      <x:c r="D51" s="6" t="str">
        <x:v>Alta</x:v>
      </x:c>
      <x:c r="E51" s="6" t="str">
        <x:v>Sprint 2</x:v>
      </x:c>
      <x:c r="F51" s="6" t="str">
        <x:v>Semana 6</x:v>
      </x:c>
      <x:c r="G51" s="6" t="str">
        <x:v>Frontend</x:v>
      </x:c>
      <x:c r="H51" s="6" t="str">
        <x:v>1h30m</x:v>
      </x:c>
      <x:c r="I51" s="6" t="str">
        <x:v>S2-050</x:v>
      </x:c>
      <x:c r="J51" s="6" t="str">
        <x:v>Rodrigo</x:v>
      </x:c>
      <x:c r="K51" s="6" t="str">
        <x:v>G3: Cobro con tarjeta simulado</x:v>
      </x:c>
      <x:c r="L51" s="6" t="str">
        <x:v>Must</x:v>
      </x:c>
      <x:c r="M51" s="6" t="str">
        <x:v>Alta</x:v>
      </x:c>
      <x:c r="N51" s="7" t="str">
        <x:v>Pruebas de UI de cobro.</x:v>
      </x:c>
      <x:c r="O51" s="7" t="str">
        <x:v>En ningún estado de rechazo se muestra venta completada.</x:v>
      </x:c>
      <x:c r="P51" s="7" t="str">
        <x:v>El botón Cobrar de POS no ejecuta pagos.</x:v>
      </x:c>
      <x:c r="Q51" s="8" t="n">
        <x:v>90</x:v>
      </x:c>
      <x:c r="R51" s="6" t="str">
        <x:v>Planificada</x:v>
      </x:c>
    </x:row>
    <x:row r="52" ht="82" customHeight="1">
      <x:c r="A52" s="7" t="str">
        <x:v>Definir matriz RN-02 de pagos</x:v>
      </x:c>
      <x:c r="B52" s="7" t="str">
        <x:v>Objetivo: Listar escenarios por método, resultado, idempotencia y datos permitidos en logs.
Entrega verificable: Casos de aceptación de pago con tarjeta.
Aceptación: La matriz prohíbe captura local de PAN o CVV.
Prioridad MoSCoW: Must. Dificultad: Baja. Meta: Cobro con tarjeta simulado.
Hallazgo o necesidad: No hay pruebas de tarjeta de extremo a extremo.</x:v>
      </x:c>
      <x:c r="C52" s="6" t="str">
        <x:v>dprado2024</x:v>
      </x:c>
      <x:c r="D52" s="6" t="str">
        <x:v>Facil</x:v>
      </x:c>
      <x:c r="E52" s="6" t="str">
        <x:v>Sprint 2</x:v>
      </x:c>
      <x:c r="F52" s="6" t="str">
        <x:v>Semana 6</x:v>
      </x:c>
      <x:c r="G52" s="6" t="str">
        <x:v>Testing</x:v>
      </x:c>
      <x:c r="H52" s="6" t="str">
        <x:v>30m</x:v>
      </x:c>
      <x:c r="I52" s="6" t="str">
        <x:v>S2-051</x:v>
      </x:c>
      <x:c r="J52" s="6" t="str">
        <x:v>Daniel</x:v>
      </x:c>
      <x:c r="K52" s="6" t="str">
        <x:v>G3: Cobro con tarjeta simulado</x:v>
      </x:c>
      <x:c r="L52" s="6" t="str">
        <x:v>Must</x:v>
      </x:c>
      <x:c r="M52" s="6" t="str">
        <x:v>Baja</x:v>
      </x:c>
      <x:c r="N52" s="7" t="str">
        <x:v>Casos de aceptación de pago con tarjeta.</x:v>
      </x:c>
      <x:c r="O52" s="7" t="str">
        <x:v>La matriz prohíbe captura local de PAN o CVV.</x:v>
      </x:c>
      <x:c r="P52" s="7" t="str">
        <x:v>No hay pruebas de tarjeta de extremo a extremo.</x:v>
      </x:c>
      <x:c r="Q52" s="8" t="n">
        <x:v>30</x:v>
      </x:c>
      <x:c r="R52" s="6" t="str">
        <x:v>Planificada</x:v>
      </x:c>
    </x:row>
    <x:row r="53" ht="82" customHeight="1">
      <x:c r="A53" s="7" t="str">
        <x:v>Probar rechazo y timeout por HTTP</x:v>
      </x:c>
      <x:c r="B53" s="7" t="str">
        <x:v>Objetivo: Verificar respuesta, estado PENDIENTE, ausencia de Pago aprobado y ausencia de evento.
Entrega verificable: Pruebas de integración del endpoint de tarjeta.
Aceptación: La venta no se completa ante rechazo ni incertidumbre.
Prioridad MoSCoW: Must. Dificultad: Media. Meta: Cobro con tarjeta simulado.
Hallazgo o necesidad: No hay pruebas de tarjeta de extremo a extremo.</x:v>
      </x:c>
      <x:c r="C53" s="6" t="str">
        <x:v>dprado2024</x:v>
      </x:c>
      <x:c r="D53" s="6" t="str">
        <x:v>Medio</x:v>
      </x:c>
      <x:c r="E53" s="6" t="str">
        <x:v>Sprint 2</x:v>
      </x:c>
      <x:c r="F53" s="6" t="str">
        <x:v>Semana 6</x:v>
      </x:c>
      <x:c r="G53" s="6" t="str">
        <x:v>Testing</x:v>
      </x:c>
      <x:c r="H53" s="6" t="str">
        <x:v>1h</x:v>
      </x:c>
      <x:c r="I53" s="6" t="str">
        <x:v>S2-052</x:v>
      </x:c>
      <x:c r="J53" s="6" t="str">
        <x:v>Daniel</x:v>
      </x:c>
      <x:c r="K53" s="6" t="str">
        <x:v>G3: Cobro con tarjeta simulado</x:v>
      </x:c>
      <x:c r="L53" s="6" t="str">
        <x:v>Must</x:v>
      </x:c>
      <x:c r="M53" s="6" t="str">
        <x:v>Media</x:v>
      </x:c>
      <x:c r="N53" s="7" t="str">
        <x:v>Pruebas de integración del endpoint de tarjeta.</x:v>
      </x:c>
      <x:c r="O53" s="7" t="str">
        <x:v>La venta no se completa ante rechazo ni incertidumbre.</x:v>
      </x:c>
      <x:c r="P53" s="7" t="str">
        <x:v>No hay pruebas de tarjeta de extremo a extremo.</x:v>
      </x:c>
      <x:c r="Q53" s="8" t="n">
        <x:v>60</x:v>
      </x:c>
      <x:c r="R53" s="6" t="str">
        <x:v>Planificada</x:v>
      </x:c>
    </x:row>
    <x:row r="54" ht="82" customHeight="1">
      <x:c r="A54" s="7" t="str">
        <x:v>Probar autorización e idempotencia</x:v>
      </x:c>
      <x:c r="B54" s="7" t="str">
        <x:v>Objetivo: Enviar dos veces el mismo intento y verificar un cargo y un Pago de tarjeta.
Entrega verificable: Prueba de duplicación con simulador.
Aceptación: Una clave produce una única autorización lógica.
Prioridad MoSCoW: Must. Dificultad: Media. Meta: Cobro con tarjeta simulado.
Hallazgo o necesidad: No hay pruebas de tarjeta de extremo a extremo.</x:v>
      </x:c>
      <x:c r="C54" s="6" t="str">
        <x:v>dprado2024</x:v>
      </x:c>
      <x:c r="D54" s="6" t="str">
        <x:v>Medio</x:v>
      </x:c>
      <x:c r="E54" s="6" t="str">
        <x:v>Sprint 2</x:v>
      </x:c>
      <x:c r="F54" s="6" t="str">
        <x:v>Semana 6</x:v>
      </x:c>
      <x:c r="G54" s="6" t="str">
        <x:v>Testing</x:v>
      </x:c>
      <x:c r="H54" s="6" t="str">
        <x:v>1h</x:v>
      </x:c>
      <x:c r="I54" s="6" t="str">
        <x:v>S2-053</x:v>
      </x:c>
      <x:c r="J54" s="6" t="str">
        <x:v>Daniel</x:v>
      </x:c>
      <x:c r="K54" s="6" t="str">
        <x:v>G3: Cobro con tarjeta simulado</x:v>
      </x:c>
      <x:c r="L54" s="6" t="str">
        <x:v>Must</x:v>
      </x:c>
      <x:c r="M54" s="6" t="str">
        <x:v>Media</x:v>
      </x:c>
      <x:c r="N54" s="7" t="str">
        <x:v>Prueba de duplicación con simulador.</x:v>
      </x:c>
      <x:c r="O54" s="7" t="str">
        <x:v>Una clave produce una única autorización lógica.</x:v>
      </x:c>
      <x:c r="P54" s="7" t="str">
        <x:v>No hay pruebas de tarjeta de extremo a extremo.</x:v>
      </x:c>
      <x:c r="Q54" s="8" t="n">
        <x:v>60</x:v>
      </x:c>
      <x:c r="R54" s="6" t="str">
        <x:v>Planificada</x:v>
      </x:c>
    </x:row>
    <x:row r="55" ht="82" customHeight="1">
      <x:c r="A55" s="7" t="str">
        <x:v>Probar aislamiento de pago</x:v>
      </x:c>
      <x:c r="B55" s="7" t="str">
        <x:v>Objetivo: Usar JWT de otro tenant y cajero sin turno para intentar pagar la venta.
Entrega verificable: Pruebas RN-01 y RN-06 del cobro.
Aceptación: No se llama al simulador ante petición no autorizada.
Prioridad MoSCoW: Must. Dificultad: Media. Meta: Cobro con tarjeta simulado.
Hallazgo o necesidad: No hay pruebas de tarjeta de extremo a extremo.</x:v>
      </x:c>
      <x:c r="C55" s="6" t="str">
        <x:v>dprado2024</x:v>
      </x:c>
      <x:c r="D55" s="6" t="str">
        <x:v>Medio</x:v>
      </x:c>
      <x:c r="E55" s="6" t="str">
        <x:v>Sprint 2</x:v>
      </x:c>
      <x:c r="F55" s="6" t="str">
        <x:v>Semana 6</x:v>
      </x:c>
      <x:c r="G55" s="6" t="str">
        <x:v>Testing</x:v>
      </x:c>
      <x:c r="H55" s="6" t="str">
        <x:v>1h</x:v>
      </x:c>
      <x:c r="I55" s="6" t="str">
        <x:v>S2-054</x:v>
      </x:c>
      <x:c r="J55" s="6" t="str">
        <x:v>Daniel</x:v>
      </x:c>
      <x:c r="K55" s="6" t="str">
        <x:v>G3: Cobro con tarjeta simulado</x:v>
      </x:c>
      <x:c r="L55" s="6" t="str">
        <x:v>Must</x:v>
      </x:c>
      <x:c r="M55" s="6" t="str">
        <x:v>Media</x:v>
      </x:c>
      <x:c r="N55" s="7" t="str">
        <x:v>Pruebas RN-01 y RN-06 del cobro.</x:v>
      </x:c>
      <x:c r="O55" s="7" t="str">
        <x:v>No se llama al simulador ante petición no autorizada.</x:v>
      </x:c>
      <x:c r="P55" s="7" t="str">
        <x:v>No hay pruebas de tarjeta de extremo a extremo.</x:v>
      </x:c>
      <x:c r="Q55" s="8" t="n">
        <x:v>60</x:v>
      </x:c>
      <x:c r="R55" s="6" t="str">
        <x:v>Planificada</x:v>
      </x:c>
    </x:row>
    <x:row r="56" ht="82" customHeight="1">
      <x:c r="A56" s="7" t="str">
        <x:v>Automatizar flujo E2E tarjeta</x:v>
      </x:c>
      <x:c r="B56" s="7" t="str">
        <x:v>Objetivo: Abrir turno, crear venta, cobrar aprobado y repetir con rechazo desde Electron.
Entrega verificable: Dos escenarios E2E con evidencias de UI.
Aceptación: Venta, Pago y evento concuerdan con cada respuesta simulada.
Prioridad MoSCoW: Must. Dificultad: Alta. Meta: Cobro con tarjeta simulado.
Hallazgo o necesidad: No hay pruebas de tarjeta de extremo a extremo.</x:v>
      </x:c>
      <x:c r="C56" s="6" t="str">
        <x:v>dprado2024</x:v>
      </x:c>
      <x:c r="D56" s="6" t="str">
        <x:v>Alta</x:v>
      </x:c>
      <x:c r="E56" s="6" t="str">
        <x:v>Sprint 2</x:v>
      </x:c>
      <x:c r="F56" s="6" t="str">
        <x:v>Semana 6</x:v>
      </x:c>
      <x:c r="G56" s="6" t="str">
        <x:v>Testing</x:v>
      </x:c>
      <x:c r="H56" s="6" t="str">
        <x:v>1h30m</x:v>
      </x:c>
      <x:c r="I56" s="6" t="str">
        <x:v>S2-055</x:v>
      </x:c>
      <x:c r="J56" s="6" t="str">
        <x:v>Daniel</x:v>
      </x:c>
      <x:c r="K56" s="6" t="str">
        <x:v>G3: Cobro con tarjeta simulado</x:v>
      </x:c>
      <x:c r="L56" s="6" t="str">
        <x:v>Must</x:v>
      </x:c>
      <x:c r="M56" s="6" t="str">
        <x:v>Alta</x:v>
      </x:c>
      <x:c r="N56" s="7" t="str">
        <x:v>Dos escenarios E2E con evidencias de UI.</x:v>
      </x:c>
      <x:c r="O56" s="7" t="str">
        <x:v>Venta, Pago y evento concuerdan con cada respuesta simulada.</x:v>
      </x:c>
      <x:c r="P56" s="7" t="str">
        <x:v>No hay pruebas de tarjeta de extremo a extremo.</x:v>
      </x:c>
      <x:c r="Q56" s="8" t="n">
        <x:v>90</x:v>
      </x:c>
      <x:c r="R56" s="6" t="str">
        <x:v>Planificada</x:v>
      </x:c>
    </x:row>
    <x:row r="57" ht="82" customHeight="1">
      <x:c r="A57" s="7" t="str">
        <x:v>Definir configuración segura del simulador</x:v>
      </x:c>
      <x:c r="B57" s="7" t="str">
        <x:v>Objetivo: Separar URL, claves de prueba y timeouts de los valores de producción.
Entrega verificable: env.example sin secretos reales.
Aceptación: Una instalación limpia conoce todas las variables requeridas.
Prioridad MoSCoW: Must. Dificultad: Baja. Meta: Cobro con tarjeta simulado.
Hallazgo o necesidad: El simulador y sus rutas necesitan entorno reproducible.</x:v>
      </x:c>
      <x:c r="C57" s="6" t="str">
        <x:v>dleiva2024</x:v>
      </x:c>
      <x:c r="D57" s="6" t="str">
        <x:v>Facil</x:v>
      </x:c>
      <x:c r="E57" s="6" t="str">
        <x:v>Sprint 2</x:v>
      </x:c>
      <x:c r="F57" s="6" t="str">
        <x:v>Semana 6</x:v>
      </x:c>
      <x:c r="G57" s="6" t="str">
        <x:v>DevOps</x:v>
      </x:c>
      <x:c r="H57" s="6" t="str">
        <x:v>30m</x:v>
      </x:c>
      <x:c r="I57" s="6" t="str">
        <x:v>S2-056</x:v>
      </x:c>
      <x:c r="J57" s="6" t="str">
        <x:v>Diego</x:v>
      </x:c>
      <x:c r="K57" s="6" t="str">
        <x:v>G3: Cobro con tarjeta simulado</x:v>
      </x:c>
      <x:c r="L57" s="6" t="str">
        <x:v>Must</x:v>
      </x:c>
      <x:c r="M57" s="6" t="str">
        <x:v>Baja</x:v>
      </x:c>
      <x:c r="N57" s="7" t="str">
        <x:v>env.example sin secretos reales.</x:v>
      </x:c>
      <x:c r="O57" s="7" t="str">
        <x:v>Una instalación limpia conoce todas las variables requeridas.</x:v>
      </x:c>
      <x:c r="P57" s="7" t="str">
        <x:v>El simulador y sus rutas necesitan entorno reproducible.</x:v>
      </x:c>
      <x:c r="Q57" s="8" t="n">
        <x:v>30</x:v>
      </x:c>
      <x:c r="R57" s="6" t="str">
        <x:v>Planificada</x:v>
      </x:c>
    </x:row>
    <x:row r="58" ht="82" customHeight="1">
      <x:c r="A58" s="7" t="str">
        <x:v>Incorporar simulador al entorno local</x:v>
      </x:c>
      <x:c r="B58" s="7" t="str">
        <x:v>Objetivo: Agregar proceso o contenedor de pasarela de pruebas y healthcheck sin requerir cuenta bancaria.
Entrega verificable: Composición reproducible del simulador.
Aceptación: El servicio arranca y responde a health de forma local.
Prioridad MoSCoW: Must. Dificultad: Media. Meta: Cobro con tarjeta simulado.
Hallazgo o necesidad: El simulador y sus rutas necesitan entorno reproducible.</x:v>
      </x:c>
      <x:c r="C58" s="6" t="str">
        <x:v>dleiva2024</x:v>
      </x:c>
      <x:c r="D58" s="6" t="str">
        <x:v>Medio</x:v>
      </x:c>
      <x:c r="E58" s="6" t="str">
        <x:v>Sprint 2</x:v>
      </x:c>
      <x:c r="F58" s="6" t="str">
        <x:v>Semana 6</x:v>
      </x:c>
      <x:c r="G58" s="6" t="str">
        <x:v>DevOps</x:v>
      </x:c>
      <x:c r="H58" s="6" t="str">
        <x:v>1h</x:v>
      </x:c>
      <x:c r="I58" s="6" t="str">
        <x:v>S2-057</x:v>
      </x:c>
      <x:c r="J58" s="6" t="str">
        <x:v>Diego</x:v>
      </x:c>
      <x:c r="K58" s="6" t="str">
        <x:v>G3: Cobro con tarjeta simulado</x:v>
      </x:c>
      <x:c r="L58" s="6" t="str">
        <x:v>Must</x:v>
      </x:c>
      <x:c r="M58" s="6" t="str">
        <x:v>Media</x:v>
      </x:c>
      <x:c r="N58" s="7" t="str">
        <x:v>Composición reproducible del simulador.</x:v>
      </x:c>
      <x:c r="O58" s="7" t="str">
        <x:v>El servicio arranca y responde a health de forma local.</x:v>
      </x:c>
      <x:c r="P58" s="7" t="str">
        <x:v>El simulador y sus rutas necesitan entorno reproducible.</x:v>
      </x:c>
      <x:c r="Q58" s="8" t="n">
        <x:v>60</x:v>
      </x:c>
      <x:c r="R58" s="6" t="str">
        <x:v>Planificada</x:v>
      </x:c>
    </x:row>
    <x:row r="59" ht="82" customHeight="1">
      <x:c r="A59" s="7" t="str">
        <x:v>Exponer ruta de pagos en gateway</x:v>
      </x:c>
      <x:c r="B59" s="7" t="str">
        <x:v>Objetivo: Enrutar la llamada necesaria sin permitir que Electron envíe información sensible al simulador.
Entrega verificable: Ruta Kong y contrato de red revisados.
Aceptación: La API de MS-5 puede alcanzar el simulador desde el entorno local.
Prioridad MoSCoW: Must. Dificultad: Media. Meta: Cobro con tarjeta simulado.
Hallazgo o necesidad: El simulador y sus rutas necesitan entorno reproducible.</x:v>
      </x:c>
      <x:c r="C59" s="6" t="str">
        <x:v>dleiva2024</x:v>
      </x:c>
      <x:c r="D59" s="6" t="str">
        <x:v>Medio</x:v>
      </x:c>
      <x:c r="E59" s="6" t="str">
        <x:v>Sprint 2</x:v>
      </x:c>
      <x:c r="F59" s="6" t="str">
        <x:v>Semana 6</x:v>
      </x:c>
      <x:c r="G59" s="6" t="str">
        <x:v>DevOps</x:v>
      </x:c>
      <x:c r="H59" s="6" t="str">
        <x:v>1h</x:v>
      </x:c>
      <x:c r="I59" s="6" t="str">
        <x:v>S2-058</x:v>
      </x:c>
      <x:c r="J59" s="6" t="str">
        <x:v>Diego</x:v>
      </x:c>
      <x:c r="K59" s="6" t="str">
        <x:v>G3: Cobro con tarjeta simulado</x:v>
      </x:c>
      <x:c r="L59" s="6" t="str">
        <x:v>Must</x:v>
      </x:c>
      <x:c r="M59" s="6" t="str">
        <x:v>Media</x:v>
      </x:c>
      <x:c r="N59" s="7" t="str">
        <x:v>Ruta Kong y contrato de red revisados.</x:v>
      </x:c>
      <x:c r="O59" s="7" t="str">
        <x:v>La API de MS-5 puede alcanzar el simulador desde el entorno local.</x:v>
      </x:c>
      <x:c r="P59" s="7" t="str">
        <x:v>El simulador y sus rutas necesitan entorno reproducible.</x:v>
      </x:c>
      <x:c r="Q59" s="8" t="n">
        <x:v>60</x:v>
      </x:c>
      <x:c r="R59" s="6" t="str">
        <x:v>Planificada</x:v>
      </x:c>
    </x:row>
    <x:row r="60" ht="82" customHeight="1">
      <x:c r="A60" s="7" t="str">
        <x:v>Agregar logs de correlación de cobro</x:v>
      </x:c>
      <x:c r="B60" s="7" t="str">
        <x:v>Objetivo: Correlacionar venta, intento y respuesta con IDs opacos, excluyendo tokens y datos de tarjeta.
Entrega verificable: Logging y pauta de inspección de fallos.
Aceptación: Una prueba permite seguir un pago completo sin exponer secretos.
Prioridad MoSCoW: Should. Dificultad: Media. Meta: Cobro con tarjeta simulado.
Hallazgo o necesidad: El simulador y sus rutas necesitan entorno reproducible.</x:v>
      </x:c>
      <x:c r="C60" s="6" t="str">
        <x:v>dleiva2024</x:v>
      </x:c>
      <x:c r="D60" s="6" t="str">
        <x:v>Medio</x:v>
      </x:c>
      <x:c r="E60" s="6" t="str">
        <x:v>Sprint 2</x:v>
      </x:c>
      <x:c r="F60" s="6" t="str">
        <x:v>Semana 6</x:v>
      </x:c>
      <x:c r="G60" s="6" t="str">
        <x:v>DevOps</x:v>
      </x:c>
      <x:c r="H60" s="6" t="str">
        <x:v>1h</x:v>
      </x:c>
      <x:c r="I60" s="6" t="str">
        <x:v>S2-059</x:v>
      </x:c>
      <x:c r="J60" s="6" t="str">
        <x:v>Diego</x:v>
      </x:c>
      <x:c r="K60" s="6" t="str">
        <x:v>G3: Cobro con tarjeta simulado</x:v>
      </x:c>
      <x:c r="L60" s="6" t="str">
        <x:v>Should</x:v>
      </x:c>
      <x:c r="M60" s="6" t="str">
        <x:v>Media</x:v>
      </x:c>
      <x:c r="N60" s="7" t="str">
        <x:v>Logging y pauta de inspección de fallos.</x:v>
      </x:c>
      <x:c r="O60" s="7" t="str">
        <x:v>Una prueba permite seguir un pago completo sin exponer secretos.</x:v>
      </x:c>
      <x:c r="P60" s="7" t="str">
        <x:v>El simulador y sus rutas necesitan entorno reproducible.</x:v>
      </x:c>
      <x:c r="Q60" s="8" t="n">
        <x:v>60</x:v>
      </x:c>
      <x:c r="R60" s="6" t="str">
        <x:v>Planificada</x:v>
      </x:c>
    </x:row>
    <x:row r="61" ht="82" customHeight="1">
      <x:c r="A61" s="7" t="str">
        <x:v>Ejecutar smoke de despliegue de tarjeta</x:v>
      </x:c>
      <x:c r="B61" s="7" t="str">
        <x:v>Objetivo: Probar arranque, aprobación, rechazo y pérdida temporal del simulador.
Entrega verificable: Registro de resultados reproducible en CI o guía local.
Aceptación: Las tres situaciones terminan con estado de venta correcto.
Prioridad MoSCoW: Must. Dificultad: Alta. Meta: Cobro con tarjeta simulado.
Hallazgo o necesidad: El simulador y sus rutas necesitan entorno reproducible.</x:v>
      </x:c>
      <x:c r="C61" s="6" t="str">
        <x:v>dleiva2024</x:v>
      </x:c>
      <x:c r="D61" s="6" t="str">
        <x:v>Alta</x:v>
      </x:c>
      <x:c r="E61" s="6" t="str">
        <x:v>Sprint 2</x:v>
      </x:c>
      <x:c r="F61" s="6" t="str">
        <x:v>Semana 6</x:v>
      </x:c>
      <x:c r="G61" s="6" t="str">
        <x:v>DevOps</x:v>
      </x:c>
      <x:c r="H61" s="6" t="str">
        <x:v>1h30m</x:v>
      </x:c>
      <x:c r="I61" s="6" t="str">
        <x:v>S2-060</x:v>
      </x:c>
      <x:c r="J61" s="6" t="str">
        <x:v>Diego</x:v>
      </x:c>
      <x:c r="K61" s="6" t="str">
        <x:v>G3: Cobro con tarjeta simulado</x:v>
      </x:c>
      <x:c r="L61" s="6" t="str">
        <x:v>Must</x:v>
      </x:c>
      <x:c r="M61" s="6" t="str">
        <x:v>Alta</x:v>
      </x:c>
      <x:c r="N61" s="7" t="str">
        <x:v>Registro de resultados reproducible en CI o guía local.</x:v>
      </x:c>
      <x:c r="O61" s="7" t="str">
        <x:v>Las tres situaciones terminan con estado de venta correcto.</x:v>
      </x:c>
      <x:c r="P61" s="7" t="str">
        <x:v>El simulador y sus rutas necesitan entorno reproducible.</x:v>
      </x:c>
      <x:c r="Q61" s="8" t="n">
        <x:v>90</x:v>
      </x:c>
      <x:c r="R61" s="6" t="str">
        <x:v>Planificada</x:v>
      </x:c>
    </x:row>
    <x:row r="62" ht="82" customHeight="1">
      <x:c r="A62" s="7" t="str">
        <x:v>Definir contrato de peso variable</x:v>
      </x:c>
      <x:c r="B62" s="7" t="str">
        <x:v>Objetivo: Especificar unidad base, precisión, peso mínimo y relación entre PesoKg y Cantidad para EsPesoVariable.
Entrega verificable: Contrato de ítem pesable con ejemplos válidos y rechazados.
Aceptación: Una venta no puede mezclar gramos y kilogramos sin conversión explícita.
Prioridad MoSCoW: Must. Dificultad: Baja. Meta: Balanza con simulador.
Hallazgo o necesidad: MS-5 admite PesoKg, pero debe validar cantidad y precio de productos pesables.</x:v>
      </x:c>
      <x:c r="C62" s="6" t="str">
        <x:v>spereda2024</x:v>
      </x:c>
      <x:c r="D62" s="6" t="str">
        <x:v>Facil</x:v>
      </x:c>
      <x:c r="E62" s="6" t="str">
        <x:v>Sprint 2</x:v>
      </x:c>
      <x:c r="F62" s="6" t="str">
        <x:v>Semana 7</x:v>
      </x:c>
      <x:c r="G62" s="6" t="str">
        <x:v>Backend</x:v>
      </x:c>
      <x:c r="H62" s="6" t="str">
        <x:v>30m</x:v>
      </x:c>
      <x:c r="I62" s="6" t="str">
        <x:v>S2-061</x:v>
      </x:c>
      <x:c r="J62" s="6" t="str">
        <x:v>Sebastián</x:v>
      </x:c>
      <x:c r="K62" s="6" t="str">
        <x:v>G4: Balanza con simulador</x:v>
      </x:c>
      <x:c r="L62" s="6" t="str">
        <x:v>Must</x:v>
      </x:c>
      <x:c r="M62" s="6" t="str">
        <x:v>Baja</x:v>
      </x:c>
      <x:c r="N62" s="7" t="str">
        <x:v>Contrato de ítem pesable con ejemplos válidos y rechazados.</x:v>
      </x:c>
      <x:c r="O62" s="7" t="str">
        <x:v>Una venta no puede mezclar gramos y kilogramos sin conversión explícita.</x:v>
      </x:c>
      <x:c r="P62" s="7" t="str">
        <x:v>MS-5 admite PesoKg, pero debe validar cantidad y precio de productos pesables.</x:v>
      </x:c>
      <x:c r="Q62" s="8" t="n">
        <x:v>30</x:v>
      </x:c>
      <x:c r="R62" s="6" t="str">
        <x:v>Planificada</x:v>
      </x:c>
    </x:row>
    <x:row r="63" ht="82" customHeight="1">
      <x:c r="A63" s="7" t="str">
        <x:v>Validar peso en agregar ítem</x:v>
      </x:c>
      <x:c r="B63" s="7" t="str">
        <x:v>Objetivo: Consultar EsPesoVariable del catálogo y rechazar peso cero, negativo o ausente cuando se exige.
Entrega verificable: Validación del endpoint de ítems.
Aceptación: Un peso inválido no cambia carrito ni total.
Prioridad MoSCoW: Must. Dificultad: Media. Meta: Balanza con simulador.
Hallazgo o necesidad: MS-5 admite PesoKg, pero debe validar cantidad y precio de productos pesables.</x:v>
      </x:c>
      <x:c r="C63" s="6" t="str">
        <x:v>spereda2024</x:v>
      </x:c>
      <x:c r="D63" s="6" t="str">
        <x:v>Medio</x:v>
      </x:c>
      <x:c r="E63" s="6" t="str">
        <x:v>Sprint 2</x:v>
      </x:c>
      <x:c r="F63" s="6" t="str">
        <x:v>Semana 7</x:v>
      </x:c>
      <x:c r="G63" s="6" t="str">
        <x:v>Backend</x:v>
      </x:c>
      <x:c r="H63" s="6" t="str">
        <x:v>1h</x:v>
      </x:c>
      <x:c r="I63" s="6" t="str">
        <x:v>S2-062</x:v>
      </x:c>
      <x:c r="J63" s="6" t="str">
        <x:v>Sebastián</x:v>
      </x:c>
      <x:c r="K63" s="6" t="str">
        <x:v>G4: Balanza con simulador</x:v>
      </x:c>
      <x:c r="L63" s="6" t="str">
        <x:v>Must</x:v>
      </x:c>
      <x:c r="M63" s="6" t="str">
        <x:v>Media</x:v>
      </x:c>
      <x:c r="N63" s="7" t="str">
        <x:v>Validación del endpoint de ítems.</x:v>
      </x:c>
      <x:c r="O63" s="7" t="str">
        <x:v>Un peso inválido no cambia carrito ni total.</x:v>
      </x:c>
      <x:c r="P63" s="7" t="str">
        <x:v>MS-5 admite PesoKg, pero debe validar cantidad y precio de productos pesables.</x:v>
      </x:c>
      <x:c r="Q63" s="8" t="n">
        <x:v>60</x:v>
      </x:c>
      <x:c r="R63" s="6" t="str">
        <x:v>Planificada</x:v>
      </x:c>
    </x:row>
    <x:row r="64" ht="82" customHeight="1">
      <x:c r="A64" s="7" t="str">
        <x:v>Calcular total pesable en servidor</x:v>
      </x:c>
      <x:c r="B64" s="7" t="str">
        <x:v>Objetivo: Usar precio por kilogramo de MS-3 y peso validado para subtotal e IVA.
Entrega verificable: Cálculo de ítem y venta sin confiar en precio del renderer.
Aceptación: Un peso de prueba produce subtotal e impuestos reproducibles.
Prioridad MoSCoW: Must. Dificultad: Media. Meta: Balanza con simulador.
Hallazgo o necesidad: MS-5 admite PesoKg, pero debe validar cantidad y precio de productos pesables.</x:v>
      </x:c>
      <x:c r="C64" s="6" t="str">
        <x:v>spereda2024</x:v>
      </x:c>
      <x:c r="D64" s="6" t="str">
        <x:v>Medio</x:v>
      </x:c>
      <x:c r="E64" s="6" t="str">
        <x:v>Sprint 2</x:v>
      </x:c>
      <x:c r="F64" s="6" t="str">
        <x:v>Semana 7</x:v>
      </x:c>
      <x:c r="G64" s="6" t="str">
        <x:v>Backend</x:v>
      </x:c>
      <x:c r="H64" s="6" t="str">
        <x:v>1h</x:v>
      </x:c>
      <x:c r="I64" s="6" t="str">
        <x:v>S2-063</x:v>
      </x:c>
      <x:c r="J64" s="6" t="str">
        <x:v>Sebastián</x:v>
      </x:c>
      <x:c r="K64" s="6" t="str">
        <x:v>G4: Balanza con simulador</x:v>
      </x:c>
      <x:c r="L64" s="6" t="str">
        <x:v>Must</x:v>
      </x:c>
      <x:c r="M64" s="6" t="str">
        <x:v>Media</x:v>
      </x:c>
      <x:c r="N64" s="7" t="str">
        <x:v>Cálculo de ítem y venta sin confiar en precio del renderer.</x:v>
      </x:c>
      <x:c r="O64" s="7" t="str">
        <x:v>Un peso de prueba produce subtotal e impuestos reproducibles.</x:v>
      </x:c>
      <x:c r="P64" s="7" t="str">
        <x:v>MS-5 admite PesoKg, pero debe validar cantidad y precio de productos pesables.</x:v>
      </x:c>
      <x:c r="Q64" s="8" t="n">
        <x:v>60</x:v>
      </x:c>
      <x:c r="R64" s="6" t="str">
        <x:v>Planificada</x:v>
      </x:c>
    </x:row>
    <x:row r="65" ht="82" customHeight="1">
      <x:c r="A65" s="7" t="str">
        <x:v>Actualizar cantidad pesable con recálculo</x:v>
      </x:c>
      <x:c r="B65" s="7" t="str">
        <x:v>Objetivo: Permitir modificar PesoKg y recalcular por MS-2 sin alterar la unidad de un producto unitario.
Entrega verificable: PUT de ítem con reglas separadas por tipo de producto.
Aceptación: El total cambia solo según el peso aceptado por servidor.
Prioridad MoSCoW: Must. Dificultad: Media. Meta: Balanza con simulador.
Hallazgo o necesidad: MS-5 admite PesoKg, pero debe validar cantidad y precio de productos pesables.</x:v>
      </x:c>
      <x:c r="C65" s="6" t="str">
        <x:v>spereda2024</x:v>
      </x:c>
      <x:c r="D65" s="6" t="str">
        <x:v>Medio</x:v>
      </x:c>
      <x:c r="E65" s="6" t="str">
        <x:v>Sprint 2</x:v>
      </x:c>
      <x:c r="F65" s="6" t="str">
        <x:v>Semana 7</x:v>
      </x:c>
      <x:c r="G65" s="6" t="str">
        <x:v>Backend</x:v>
      </x:c>
      <x:c r="H65" s="6" t="str">
        <x:v>1h</x:v>
      </x:c>
      <x:c r="I65" s="6" t="str">
        <x:v>S2-064</x:v>
      </x:c>
      <x:c r="J65" s="6" t="str">
        <x:v>Sebastián</x:v>
      </x:c>
      <x:c r="K65" s="6" t="str">
        <x:v>G4: Balanza con simulador</x:v>
      </x:c>
      <x:c r="L65" s="6" t="str">
        <x:v>Must</x:v>
      </x:c>
      <x:c r="M65" s="6" t="str">
        <x:v>Media</x:v>
      </x:c>
      <x:c r="N65" s="7" t="str">
        <x:v>PUT de ítem con reglas separadas por tipo de producto.</x:v>
      </x:c>
      <x:c r="O65" s="7" t="str">
        <x:v>El total cambia solo según el peso aceptado por servidor.</x:v>
      </x:c>
      <x:c r="P65" s="7" t="str">
        <x:v>MS-5 admite PesoKg, pero debe validar cantidad y precio de productos pesables.</x:v>
      </x:c>
      <x:c r="Q65" s="8" t="n">
        <x:v>60</x:v>
      </x:c>
      <x:c r="R65" s="6" t="str">
        <x:v>Planificada</x:v>
      </x:c>
    </x:row>
    <x:row r="66" ht="82" customHeight="1">
      <x:c r="A66" s="7" t="str">
        <x:v>Probar fronteras de peso y tenant</x:v>
      </x:c>
      <x:c r="B66" s="7" t="str">
        <x:v>Objetivo: Cubrir cero, negativo, redondeo, unidad incorrecta y producto de otro tenant.
Entrega verificable: Pruebas de integración de productos pesables.
Aceptación: Las respuestas y montos coinciden con contrato en todos los bordes.
Prioridad MoSCoW: Must. Dificultad: Alta. Meta: Balanza con simulador.
Hallazgo o necesidad: MS-5 admite PesoKg, pero debe validar cantidad y precio de productos pesables.</x:v>
      </x:c>
      <x:c r="C66" s="6" t="str">
        <x:v>spereda2024</x:v>
      </x:c>
      <x:c r="D66" s="6" t="str">
        <x:v>Alta</x:v>
      </x:c>
      <x:c r="E66" s="6" t="str">
        <x:v>Sprint 2</x:v>
      </x:c>
      <x:c r="F66" s="6" t="str">
        <x:v>Semana 7</x:v>
      </x:c>
      <x:c r="G66" s="6" t="str">
        <x:v>Backend</x:v>
      </x:c>
      <x:c r="H66" s="6" t="str">
        <x:v>1h30m</x:v>
      </x:c>
      <x:c r="I66" s="6" t="str">
        <x:v>S2-065</x:v>
      </x:c>
      <x:c r="J66" s="6" t="str">
        <x:v>Sebastián</x:v>
      </x:c>
      <x:c r="K66" s="6" t="str">
        <x:v>G4: Balanza con simulador</x:v>
      </x:c>
      <x:c r="L66" s="6" t="str">
        <x:v>Must</x:v>
      </x:c>
      <x:c r="M66" s="6" t="str">
        <x:v>Alta</x:v>
      </x:c>
      <x:c r="N66" s="7" t="str">
        <x:v>Pruebas de integración de productos pesables.</x:v>
      </x:c>
      <x:c r="O66" s="7" t="str">
        <x:v>Las respuestas y montos coinciden con contrato en todos los bordes.</x:v>
      </x:c>
      <x:c r="P66" s="7" t="str">
        <x:v>MS-5 admite PesoKg, pero debe validar cantidad y precio de productos pesables.</x:v>
      </x:c>
      <x:c r="Q66" s="8" t="n">
        <x:v>90</x:v>
      </x:c>
      <x:c r="R66" s="6" t="str">
        <x:v>Planificada</x:v>
      </x:c>
    </x:row>
    <x:row r="67" ht="82" customHeight="1">
      <x:c r="A67" s="7" t="str">
        <x:v>Definir interfaz de balanza</x:v>
      </x:c>
      <x:c r="B67" s="7" t="str">
        <x:v>Objetivo: Precisar conectar, desconectar, leer peso estable, estado y error para hardware futuro y simulador.
Entrega verificable: Contrato TypeScript tipado y estados de lectura.
Aceptación: El renderer nunca accede directamente al puerto serial.
Prioridad MoSCoW: Must. Dificultad: Baja. Meta: Balanza con simulador.
Hallazgo o necesidad: Electron no expone API de balanza ni hay dispositivo disponible.</x:v>
      </x:c>
      <x:c r="C67" s="6" t="str">
        <x:v>nmartinez2024</x:v>
      </x:c>
      <x:c r="D67" s="6" t="str">
        <x:v>Facil</x:v>
      </x:c>
      <x:c r="E67" s="6" t="str">
        <x:v>Sprint 2</x:v>
      </x:c>
      <x:c r="F67" s="6" t="str">
        <x:v>Semana 7</x:v>
      </x:c>
      <x:c r="G67" s="6" t="str">
        <x:v>Frontend</x:v>
      </x:c>
      <x:c r="H67" s="6" t="str">
        <x:v>30m</x:v>
      </x:c>
      <x:c r="I67" s="6" t="str">
        <x:v>S2-066</x:v>
      </x:c>
      <x:c r="J67" s="6" t="str">
        <x:v>Nicolás</x:v>
      </x:c>
      <x:c r="K67" s="6" t="str">
        <x:v>G4: Balanza con simulador</x:v>
      </x:c>
      <x:c r="L67" s="6" t="str">
        <x:v>Must</x:v>
      </x:c>
      <x:c r="M67" s="6" t="str">
        <x:v>Baja</x:v>
      </x:c>
      <x:c r="N67" s="7" t="str">
        <x:v>Contrato TypeScript tipado y estados de lectura.</x:v>
      </x:c>
      <x:c r="O67" s="7" t="str">
        <x:v>El renderer nunca accede directamente al puerto serial.</x:v>
      </x:c>
      <x:c r="P67" s="7" t="str">
        <x:v>Electron no expone API de balanza ni hay dispositivo disponible.</x:v>
      </x:c>
      <x:c r="Q67" s="8" t="n">
        <x:v>30</x:v>
      </x:c>
      <x:c r="R67" s="6" t="str">
        <x:v>Planificada</x:v>
      </x:c>
    </x:row>
    <x:row r="68" ht="82" customHeight="1">
      <x:c r="A68" s="7" t="str">
        <x:v>Implementar adaptador de balanza simulada</x:v>
      </x:c>
      <x:c r="B68" s="7" t="str">
        <x:v>Objetivo: Proveer pesos de prueba y errores controlados con la misma interfaz del dispositivo real.
Entrega verificable: Adaptador mock seleccionable por configuración.
Aceptación: La UI recibe peso estable, desconexión y error sin hardware.
Prioridad MoSCoW: Must. Dificultad: Media. Meta: Balanza con simulador.
Hallazgo o necesidad: Electron no expone API de balanza ni hay dispositivo disponible.</x:v>
      </x:c>
      <x:c r="C68" s="6" t="str">
        <x:v>nmartinez2024</x:v>
      </x:c>
      <x:c r="D68" s="6" t="str">
        <x:v>Medio</x:v>
      </x:c>
      <x:c r="E68" s="6" t="str">
        <x:v>Sprint 2</x:v>
      </x:c>
      <x:c r="F68" s="6" t="str">
        <x:v>Semana 7</x:v>
      </x:c>
      <x:c r="G68" s="6" t="str">
        <x:v>Frontend</x:v>
      </x:c>
      <x:c r="H68" s="6" t="str">
        <x:v>1h</x:v>
      </x:c>
      <x:c r="I68" s="6" t="str">
        <x:v>S2-067</x:v>
      </x:c>
      <x:c r="J68" s="6" t="str">
        <x:v>Nicolás</x:v>
      </x:c>
      <x:c r="K68" s="6" t="str">
        <x:v>G4: Balanza con simulador</x:v>
      </x:c>
      <x:c r="L68" s="6" t="str">
        <x:v>Must</x:v>
      </x:c>
      <x:c r="M68" s="6" t="str">
        <x:v>Media</x:v>
      </x:c>
      <x:c r="N68" s="7" t="str">
        <x:v>Adaptador mock seleccionable por configuración.</x:v>
      </x:c>
      <x:c r="O68" s="7" t="str">
        <x:v>La UI recibe peso estable, desconexión y error sin hardware.</x:v>
      </x:c>
      <x:c r="P68" s="7" t="str">
        <x:v>Electron no expone API de balanza ni hay dispositivo disponible.</x:v>
      </x:c>
      <x:c r="Q68" s="8" t="n">
        <x:v>60</x:v>
      </x:c>
      <x:c r="R68" s="6" t="str">
        <x:v>Planificada</x:v>
      </x:c>
    </x:row>
    <x:row r="69" ht="82" customHeight="1">
      <x:c r="A69" s="7" t="str">
        <x:v>Exponer IPC mínimo y validado</x:v>
      </x:c>
      <x:c r="B69" s="7" t="str">
        <x:v>Objetivo: Agregar handlers en main y preload solo para las operaciones de balanza autorizadas.
Entrega verificable: API contextBridge tipada y whitelist de canales.
Aceptación: Un renderer no puede invocar puertos arbitrarios ni enviar comandos seriales.
Prioridad MoSCoW: Must. Dificultad: Media. Meta: Balanza con simulador.
Hallazgo o necesidad: Electron no expone API de balanza ni hay dispositivo disponible.</x:v>
      </x:c>
      <x:c r="C69" s="6" t="str">
        <x:v>nmartinez2024</x:v>
      </x:c>
      <x:c r="D69" s="6" t="str">
        <x:v>Medio</x:v>
      </x:c>
      <x:c r="E69" s="6" t="str">
        <x:v>Sprint 2</x:v>
      </x:c>
      <x:c r="F69" s="6" t="str">
        <x:v>Semana 7</x:v>
      </x:c>
      <x:c r="G69" s="6" t="str">
        <x:v>Frontend</x:v>
      </x:c>
      <x:c r="H69" s="6" t="str">
        <x:v>1h</x:v>
      </x:c>
      <x:c r="I69" s="6" t="str">
        <x:v>S2-068</x:v>
      </x:c>
      <x:c r="J69" s="6" t="str">
        <x:v>Nicolás</x:v>
      </x:c>
      <x:c r="K69" s="6" t="str">
        <x:v>G4: Balanza con simulador</x:v>
      </x:c>
      <x:c r="L69" s="6" t="str">
        <x:v>Must</x:v>
      </x:c>
      <x:c r="M69" s="6" t="str">
        <x:v>Media</x:v>
      </x:c>
      <x:c r="N69" s="7" t="str">
        <x:v>API contextBridge tipada y whitelist de canales.</x:v>
      </x:c>
      <x:c r="O69" s="7" t="str">
        <x:v>Un renderer no puede invocar puertos arbitrarios ni enviar comandos seriales.</x:v>
      </x:c>
      <x:c r="P69" s="7" t="str">
        <x:v>Electron no expone API de balanza ni hay dispositivo disponible.</x:v>
      </x:c>
      <x:c r="Q69" s="8" t="n">
        <x:v>60</x:v>
      </x:c>
      <x:c r="R69" s="6" t="str">
        <x:v>Planificada</x:v>
      </x:c>
    </x:row>
    <x:row r="70" ht="82" customHeight="1">
      <x:c r="A70" s="7" t="str">
        <x:v>Preparar adaptador serial intercambiable</x:v>
      </x:c>
      <x:c r="B70" s="7" t="str">
        <x:v>Objetivo: Aislar configuración de puerto, baud rate y parser detrás de la interfaz sin afirmar compatibilidad con un modelo desconocido.
Entrega verificable: Adaptador serial documentado y deshabilitado por defecto.
Aceptación: Cambiar mock a serial no requiere cambiar componentes React.
Prioridad MoSCoW: Could. Dificultad: Media. Meta: Balanza con simulador.
Hallazgo o necesidad: Electron no expone API de balanza ni hay dispositivo disponible.</x:v>
      </x:c>
      <x:c r="C70" s="6" t="str">
        <x:v>nmartinez2024</x:v>
      </x:c>
      <x:c r="D70" s="6" t="str">
        <x:v>Medio</x:v>
      </x:c>
      <x:c r="E70" s="6" t="str">
        <x:v>Sprint 2</x:v>
      </x:c>
      <x:c r="F70" s="6" t="str">
        <x:v>Semana 7</x:v>
      </x:c>
      <x:c r="G70" s="6" t="str">
        <x:v>Frontend</x:v>
      </x:c>
      <x:c r="H70" s="6" t="str">
        <x:v>1h</x:v>
      </x:c>
      <x:c r="I70" s="6" t="str">
        <x:v>S2-069</x:v>
      </x:c>
      <x:c r="J70" s="6" t="str">
        <x:v>Nicolás</x:v>
      </x:c>
      <x:c r="K70" s="6" t="str">
        <x:v>G4: Balanza con simulador</x:v>
      </x:c>
      <x:c r="L70" s="6" t="str">
        <x:v>Could</x:v>
      </x:c>
      <x:c r="M70" s="6" t="str">
        <x:v>Media</x:v>
      </x:c>
      <x:c r="N70" s="7" t="str">
        <x:v>Adaptador serial documentado y deshabilitado por defecto.</x:v>
      </x:c>
      <x:c r="O70" s="7" t="str">
        <x:v>Cambiar mock a serial no requiere cambiar componentes React.</x:v>
      </x:c>
      <x:c r="P70" s="7" t="str">
        <x:v>Electron no expone API de balanza ni hay dispositivo disponible.</x:v>
      </x:c>
      <x:c r="Q70" s="8" t="n">
        <x:v>60</x:v>
      </x:c>
      <x:c r="R70" s="6" t="str">
        <x:v>Planificada</x:v>
      </x:c>
    </x:row>
    <x:row r="71" ht="82" customHeight="1">
      <x:c r="A71" s="7" t="str">
        <x:v>Probar IPC y estados simulados</x:v>
      </x:c>
      <x:c r="B71" s="7" t="str">
        <x:v>Objetivo: Cubrir lectura válida, dato corrupto, desconexión y reconexión del adaptador.
Entrega verificable: Pruebas de main/preload con simulador.
Aceptación: Solo peso estable y positivo llega al carrito.
Prioridad MoSCoW: Must. Dificultad: Alta. Meta: Balanza con simulador.
Hallazgo o necesidad: Electron no expone API de balanza ni hay dispositivo disponible.</x:v>
      </x:c>
      <x:c r="C71" s="6" t="str">
        <x:v>nmartinez2024</x:v>
      </x:c>
      <x:c r="D71" s="6" t="str">
        <x:v>Alta</x:v>
      </x:c>
      <x:c r="E71" s="6" t="str">
        <x:v>Sprint 2</x:v>
      </x:c>
      <x:c r="F71" s="6" t="str">
        <x:v>Semana 7</x:v>
      </x:c>
      <x:c r="G71" s="6" t="str">
        <x:v>Frontend</x:v>
      </x:c>
      <x:c r="H71" s="6" t="str">
        <x:v>1h30m</x:v>
      </x:c>
      <x:c r="I71" s="6" t="str">
        <x:v>S2-070</x:v>
      </x:c>
      <x:c r="J71" s="6" t="str">
        <x:v>Nicolás</x:v>
      </x:c>
      <x:c r="K71" s="6" t="str">
        <x:v>G4: Balanza con simulador</x:v>
      </x:c>
      <x:c r="L71" s="6" t="str">
        <x:v>Must</x:v>
      </x:c>
      <x:c r="M71" s="6" t="str">
        <x:v>Alta</x:v>
      </x:c>
      <x:c r="N71" s="7" t="str">
        <x:v>Pruebas de main/preload con simulador.</x:v>
      </x:c>
      <x:c r="O71" s="7" t="str">
        <x:v>Solo peso estable y positivo llega al carrito.</x:v>
      </x:c>
      <x:c r="P71" s="7" t="str">
        <x:v>Electron no expone API de balanza ni hay dispositivo disponible.</x:v>
      </x:c>
      <x:c r="Q71" s="8" t="n">
        <x:v>90</x:v>
      </x:c>
      <x:c r="R71" s="6" t="str">
        <x:v>Planificada</x:v>
      </x:c>
    </x:row>
    <x:row r="72" ht="82" customHeight="1">
      <x:c r="A72" s="7" t="str">
        <x:v>Definir contrato del terminal de pago</x:v>
      </x:c>
      <x:c r="B72" s="7" t="str">
        <x:v>Objetivo: Separar iniciar cobro, consultar estado y cancelar intento; usar monto, ventaId y referencia opaca, nunca PAN ni CVV.
Entrega verificable: Interfaz tipada TerminalPort y máquina de estados.
Aceptación: El terminal solicita autorización mediante la pasarela simulada y no almacena datos de tarjeta.
Prioridad MoSCoW: Must. Dificultad: Baja. Meta: Terminal POS con simulador.
Hallazgo o necesidad: Electron no dispone de adaptador para un terminal físico de pago.</x:v>
      </x:c>
      <x:c r="C72" s="6" t="str">
        <x:v>msanhueza2024</x:v>
      </x:c>
      <x:c r="D72" s="6" t="str">
        <x:v>Facil</x:v>
      </x:c>
      <x:c r="E72" s="6" t="str">
        <x:v>Sprint 2</x:v>
      </x:c>
      <x:c r="F72" s="6" t="str">
        <x:v>Semana 7</x:v>
      </x:c>
      <x:c r="G72" s="6" t="str">
        <x:v>Frontend</x:v>
      </x:c>
      <x:c r="H72" s="6" t="str">
        <x:v>30m</x:v>
      </x:c>
      <x:c r="I72" s="6" t="str">
        <x:v>S2-071</x:v>
      </x:c>
      <x:c r="J72" s="6" t="str">
        <x:v>Martín</x:v>
      </x:c>
      <x:c r="K72" s="6" t="str">
        <x:v>G5: Terminal POS con simulador</x:v>
      </x:c>
      <x:c r="L72" s="6" t="str">
        <x:v>Must</x:v>
      </x:c>
      <x:c r="M72" s="6" t="str">
        <x:v>Baja</x:v>
      </x:c>
      <x:c r="N72" s="7" t="str">
        <x:v>Interfaz tipada TerminalPort y máquina de estados.</x:v>
      </x:c>
      <x:c r="O72" s="7" t="str">
        <x:v>El terminal solicita autorización mediante la pasarela simulada y no almacena datos de tarjeta.</x:v>
      </x:c>
      <x:c r="P72" s="7" t="str">
        <x:v>Electron no dispone de adaptador para un terminal físico de pago.</x:v>
      </x:c>
      <x:c r="Q72" s="8" t="n">
        <x:v>30</x:v>
      </x:c>
      <x:c r="R72" s="6" t="str">
        <x:v>Planificada</x:v>
      </x:c>
    </x:row>
    <x:row r="73" ht="82" customHeight="1">
      <x:c r="A73" s="7" t="str">
        <x:v>Crear simulador de terminal POS</x:v>
      </x:c>
      <x:c r="B73" s="7" t="str">
        <x:v>Objetivo: Reproducir lectura, espera, aprobación, rechazo, cancelación y pérdida de conexión con resultados deterministas.
Entrega verificable: Adaptador de terminal simulado seleccionable por configuración.
Aceptación: Cada escenario se puede ejecutar sin equipo físico.
Prioridad MoSCoW: Must. Dificultad: Media. Meta: Terminal POS con simulador.
Hallazgo o necesidad: Electron no dispone de adaptador para un terminal físico de pago.</x:v>
      </x:c>
      <x:c r="C73" s="6" t="str">
        <x:v>msanhueza2024</x:v>
      </x:c>
      <x:c r="D73" s="6" t="str">
        <x:v>Medio</x:v>
      </x:c>
      <x:c r="E73" s="6" t="str">
        <x:v>Sprint 2</x:v>
      </x:c>
      <x:c r="F73" s="6" t="str">
        <x:v>Semana 7</x:v>
      </x:c>
      <x:c r="G73" s="6" t="str">
        <x:v>Frontend</x:v>
      </x:c>
      <x:c r="H73" s="6" t="str">
        <x:v>1h</x:v>
      </x:c>
      <x:c r="I73" s="6" t="str">
        <x:v>S2-072</x:v>
      </x:c>
      <x:c r="J73" s="6" t="str">
        <x:v>Martín</x:v>
      </x:c>
      <x:c r="K73" s="6" t="str">
        <x:v>G5: Terminal POS con simulador</x:v>
      </x:c>
      <x:c r="L73" s="6" t="str">
        <x:v>Must</x:v>
      </x:c>
      <x:c r="M73" s="6" t="str">
        <x:v>Media</x:v>
      </x:c>
      <x:c r="N73" s="7" t="str">
        <x:v>Adaptador de terminal simulado seleccionable por configuración.</x:v>
      </x:c>
      <x:c r="O73" s="7" t="str">
        <x:v>Cada escenario se puede ejecutar sin equipo físico.</x:v>
      </x:c>
      <x:c r="P73" s="7" t="str">
        <x:v>Electron no dispone de adaptador para un terminal físico de pago.</x:v>
      </x:c>
      <x:c r="Q73" s="8" t="n">
        <x:v>60</x:v>
      </x:c>
      <x:c r="R73" s="6" t="str">
        <x:v>Planificada</x:v>
      </x:c>
    </x:row>
    <x:row r="74" ht="82" customHeight="1">
      <x:c r="A74" s="7" t="str">
        <x:v>Exponer IPC limitado del terminal</x:v>
      </x:c>
      <x:c r="B74" s="7" t="str">
        <x:v>Objetivo: Agregar handlers en main y preload para iniciar y consultar un intento, validando argumentos y canal permitido.
Entrega verificable: API contextBridge tipada para TerminalPort.
Aceptación: El renderer no invoca comandos arbitrarios de hardware ni recibe datos sensibles.
Prioridad MoSCoW: Must. Dificultad: Media. Meta: Terminal POS con simulador.
Hallazgo o necesidad: Electron no dispone de adaptador para un terminal físico de pago.</x:v>
      </x:c>
      <x:c r="C74" s="6" t="str">
        <x:v>msanhueza2024</x:v>
      </x:c>
      <x:c r="D74" s="6" t="str">
        <x:v>Medio</x:v>
      </x:c>
      <x:c r="E74" s="6" t="str">
        <x:v>Sprint 2</x:v>
      </x:c>
      <x:c r="F74" s="6" t="str">
        <x:v>Semana 7</x:v>
      </x:c>
      <x:c r="G74" s="6" t="str">
        <x:v>Frontend</x:v>
      </x:c>
      <x:c r="H74" s="6" t="str">
        <x:v>1h</x:v>
      </x:c>
      <x:c r="I74" s="6" t="str">
        <x:v>S2-073</x:v>
      </x:c>
      <x:c r="J74" s="6" t="str">
        <x:v>Martín</x:v>
      </x:c>
      <x:c r="K74" s="6" t="str">
        <x:v>G5: Terminal POS con simulador</x:v>
      </x:c>
      <x:c r="L74" s="6" t="str">
        <x:v>Must</x:v>
      </x:c>
      <x:c r="M74" s="6" t="str">
        <x:v>Media</x:v>
      </x:c>
      <x:c r="N74" s="7" t="str">
        <x:v>API contextBridge tipada para TerminalPort.</x:v>
      </x:c>
      <x:c r="O74" s="7" t="str">
        <x:v>El renderer no invoca comandos arbitrarios de hardware ni recibe datos sensibles.</x:v>
      </x:c>
      <x:c r="P74" s="7" t="str">
        <x:v>Electron no dispone de adaptador para un terminal físico de pago.</x:v>
      </x:c>
      <x:c r="Q74" s="8" t="n">
        <x:v>60</x:v>
      </x:c>
      <x:c r="R74" s="6" t="str">
        <x:v>Planificada</x:v>
      </x:c>
    </x:row>
    <x:row r="75" ht="82" customHeight="1">
      <x:c r="A75" s="7" t="str">
        <x:v>Sincronizar estado con la pasarela</x:v>
      </x:c>
      <x:c r="B75" s="7" t="str">
        <x:v>Objetivo: Vincular resultado del terminal simulado a la autorización del gateway por la misma clave de idempotencia.
Entrega verificable: Secuencia terminal, MS-5 y pasarela con una referencia común.
Aceptación: Una aprobación de terminal sin confirmación de MS-5 no muestra venta cobrada.
Prioridad MoSCoW: Must. Dificultad: Media. Meta: Terminal POS con simulador.
Hallazgo o necesidad: Electron no dispone de adaptador para un terminal físico de pago.</x:v>
      </x:c>
      <x:c r="C75" s="6" t="str">
        <x:v>msanhueza2024</x:v>
      </x:c>
      <x:c r="D75" s="6" t="str">
        <x:v>Medio</x:v>
      </x:c>
      <x:c r="E75" s="6" t="str">
        <x:v>Sprint 2</x:v>
      </x:c>
      <x:c r="F75" s="6" t="str">
        <x:v>Semana 7</x:v>
      </x:c>
      <x:c r="G75" s="6" t="str">
        <x:v>Frontend</x:v>
      </x:c>
      <x:c r="H75" s="6" t="str">
        <x:v>1h</x:v>
      </x:c>
      <x:c r="I75" s="6" t="str">
        <x:v>S2-074</x:v>
      </x:c>
      <x:c r="J75" s="6" t="str">
        <x:v>Martín</x:v>
      </x:c>
      <x:c r="K75" s="6" t="str">
        <x:v>G5: Terminal POS con simulador</x:v>
      </x:c>
      <x:c r="L75" s="6" t="str">
        <x:v>Must</x:v>
      </x:c>
      <x:c r="M75" s="6" t="str">
        <x:v>Media</x:v>
      </x:c>
      <x:c r="N75" s="7" t="str">
        <x:v>Secuencia terminal, MS-5 y pasarela con una referencia común.</x:v>
      </x:c>
      <x:c r="O75" s="7" t="str">
        <x:v>Una aprobación de terminal sin confirmación de MS-5 no muestra venta cobrada.</x:v>
      </x:c>
      <x:c r="P75" s="7" t="str">
        <x:v>Electron no dispone de adaptador para un terminal físico de pago.</x:v>
      </x:c>
      <x:c r="Q75" s="8" t="n">
        <x:v>60</x:v>
      </x:c>
      <x:c r="R75" s="6" t="str">
        <x:v>Planificada</x:v>
      </x:c>
    </x:row>
    <x:row r="76" ht="82" customHeight="1">
      <x:c r="A76" s="7" t="str">
        <x:v>Probar estados del terminal simulado</x:v>
      </x:c>
      <x:c r="B76" s="7" t="str">
        <x:v>Objetivo: Cubrir aprobado, rechazado, timeout, desconexión y doble clic sobre iniciar cobro.
Entrega verificable: Pruebas del adaptador, IPC y máquina de estados.
Aceptación: Cada intento conserva una clave y no crea dos cargos lógicos.
Prioridad MoSCoW: Must. Dificultad: Alta. Meta: Terminal POS con simulador.
Hallazgo o necesidad: Electron no dispone de adaptador para un terminal físico de pago.</x:v>
      </x:c>
      <x:c r="C76" s="6" t="str">
        <x:v>msanhueza2024</x:v>
      </x:c>
      <x:c r="D76" s="6" t="str">
        <x:v>Alta</x:v>
      </x:c>
      <x:c r="E76" s="6" t="str">
        <x:v>Sprint 2</x:v>
      </x:c>
      <x:c r="F76" s="6" t="str">
        <x:v>Semana 7</x:v>
      </x:c>
      <x:c r="G76" s="6" t="str">
        <x:v>Frontend</x:v>
      </x:c>
      <x:c r="H76" s="6" t="str">
        <x:v>1h30m</x:v>
      </x:c>
      <x:c r="I76" s="6" t="str">
        <x:v>S2-075</x:v>
      </x:c>
      <x:c r="J76" s="6" t="str">
        <x:v>Martín</x:v>
      </x:c>
      <x:c r="K76" s="6" t="str">
        <x:v>G5: Terminal POS con simulador</x:v>
      </x:c>
      <x:c r="L76" s="6" t="str">
        <x:v>Must</x:v>
      </x:c>
      <x:c r="M76" s="6" t="str">
        <x:v>Alta</x:v>
      </x:c>
      <x:c r="N76" s="7" t="str">
        <x:v>Pruebas del adaptador, IPC y máquina de estados.</x:v>
      </x:c>
      <x:c r="O76" s="7" t="str">
        <x:v>Cada intento conserva una clave y no crea dos cargos lógicos.</x:v>
      </x:c>
      <x:c r="P76" s="7" t="str">
        <x:v>Electron no dispone de adaptador para un terminal físico de pago.</x:v>
      </x:c>
      <x:c r="Q76" s="8" t="n">
        <x:v>90</x:v>
      </x:c>
      <x:c r="R76" s="6" t="str">
        <x:v>Planificada</x:v>
      </x:c>
    </x:row>
    <x:row r="77" ht="82" customHeight="1">
      <x:c r="A77" s="7" t="str">
        <x:v>Diseñar estado de captura de peso</x:v>
      </x:c>
      <x:c r="B77" s="7" t="str">
        <x:v>Objetivo: Mostrar origen simulado/manual, unidad kg, estabilidad y error junto al producto pesable.
Entrega verificable: Componente PesoProducto con estados definidos.
Aceptación: Un producto unitario no muestra controles de balanza.
Prioridad MoSCoW: Must. Dificultad: Baja. Meta: Balanza con simulador.
Hallazgo o necesidad: POS no ofrece captura de peso para productos variables.</x:v>
      </x:c>
      <x:c r="C77" s="6" t="str">
        <x:v>admin</x:v>
      </x:c>
      <x:c r="D77" s="6" t="str">
        <x:v>Facil</x:v>
      </x:c>
      <x:c r="E77" s="6" t="str">
        <x:v>Sprint 2</x:v>
      </x:c>
      <x:c r="F77" s="6" t="str">
        <x:v>Semana 7</x:v>
      </x:c>
      <x:c r="G77" s="6" t="str">
        <x:v>Frontend</x:v>
      </x:c>
      <x:c r="H77" s="6" t="str">
        <x:v>30m</x:v>
      </x:c>
      <x:c r="I77" s="6" t="str">
        <x:v>S2-076</x:v>
      </x:c>
      <x:c r="J77" s="6" t="str">
        <x:v>Rodrigo</x:v>
      </x:c>
      <x:c r="K77" s="6" t="str">
        <x:v>G4: Balanza con simulador</x:v>
      </x:c>
      <x:c r="L77" s="6" t="str">
        <x:v>Must</x:v>
      </x:c>
      <x:c r="M77" s="6" t="str">
        <x:v>Baja</x:v>
      </x:c>
      <x:c r="N77" s="7" t="str">
        <x:v>Componente PesoProducto con estados definidos.</x:v>
      </x:c>
      <x:c r="O77" s="7" t="str">
        <x:v>Un producto unitario no muestra controles de balanza.</x:v>
      </x:c>
      <x:c r="P77" s="7" t="str">
        <x:v>POS no ofrece captura de peso para productos variables.</x:v>
      </x:c>
      <x:c r="Q77" s="8" t="n">
        <x:v>30</x:v>
      </x:c>
      <x:c r="R77" s="6" t="str">
        <x:v>Planificada</x:v>
      </x:c>
    </x:row>
    <x:row r="78" ht="82" customHeight="1">
      <x:c r="A78" s="7" t="str">
        <x:v>Conectar lectura simulada al carrito</x:v>
      </x:c>
      <x:c r="B78" s="7" t="str">
        <x:v>Objetivo: Solicitar peso estable por preload y permitir confirmarlo antes de enviar el ítem a MS-5.
Entrega verificable: Flujo de escaneo a pesaje y agregado.
Aceptación: El peso confirmado coincide con VentaResponse.
Prioridad MoSCoW: Must. Dificultad: Media. Meta: Balanza con simulador.
Hallazgo o necesidad: POS no ofrece captura de peso para productos variables.</x:v>
      </x:c>
      <x:c r="C78" s="6" t="str">
        <x:v>admin</x:v>
      </x:c>
      <x:c r="D78" s="6" t="str">
        <x:v>Medio</x:v>
      </x:c>
      <x:c r="E78" s="6" t="str">
        <x:v>Sprint 2</x:v>
      </x:c>
      <x:c r="F78" s="6" t="str">
        <x:v>Semana 7</x:v>
      </x:c>
      <x:c r="G78" s="6" t="str">
        <x:v>Frontend</x:v>
      </x:c>
      <x:c r="H78" s="6" t="str">
        <x:v>1h</x:v>
      </x:c>
      <x:c r="I78" s="6" t="str">
        <x:v>S2-077</x:v>
      </x:c>
      <x:c r="J78" s="6" t="str">
        <x:v>Rodrigo</x:v>
      </x:c>
      <x:c r="K78" s="6" t="str">
        <x:v>G4: Balanza con simulador</x:v>
      </x:c>
      <x:c r="L78" s="6" t="str">
        <x:v>Must</x:v>
      </x:c>
      <x:c r="M78" s="6" t="str">
        <x:v>Media</x:v>
      </x:c>
      <x:c r="N78" s="7" t="str">
        <x:v>Flujo de escaneo a pesaje y agregado.</x:v>
      </x:c>
      <x:c r="O78" s="7" t="str">
        <x:v>El peso confirmado coincide con VentaResponse.</x:v>
      </x:c>
      <x:c r="P78" s="7" t="str">
        <x:v>POS no ofrece captura de peso para productos variables.</x:v>
      </x:c>
      <x:c r="Q78" s="8" t="n">
        <x:v>60</x:v>
      </x:c>
      <x:c r="R78" s="6" t="str">
        <x:v>Planificada</x:v>
      </x:c>
    </x:row>
    <x:row r="79" ht="82" customHeight="1">
      <x:c r="A79" s="7" t="str">
        <x:v>Implementar ingreso manual de respaldo</x:v>
      </x:c>
      <x:c r="B79" s="7" t="str">
        <x:v>Objetivo: Permitir digitar peso cuando el simulador o dispositivo está desconectado, con validación equivalente.
Entrega verificable: Control manual identificado como tal.
Aceptación: Peso cero, negativo o no numérico no se envía.
Prioridad MoSCoW: Must. Dificultad: Media. Meta: Balanza con simulador.
Hallazgo o necesidad: POS no ofrece captura de peso para productos variables.</x:v>
      </x:c>
      <x:c r="C79" s="6" t="str">
        <x:v>admin</x:v>
      </x:c>
      <x:c r="D79" s="6" t="str">
        <x:v>Medio</x:v>
      </x:c>
      <x:c r="E79" s="6" t="str">
        <x:v>Sprint 2</x:v>
      </x:c>
      <x:c r="F79" s="6" t="str">
        <x:v>Semana 7</x:v>
      </x:c>
      <x:c r="G79" s="6" t="str">
        <x:v>Frontend</x:v>
      </x:c>
      <x:c r="H79" s="6" t="str">
        <x:v>1h</x:v>
      </x:c>
      <x:c r="I79" s="6" t="str">
        <x:v>S2-078</x:v>
      </x:c>
      <x:c r="J79" s="6" t="str">
        <x:v>Rodrigo</x:v>
      </x:c>
      <x:c r="K79" s="6" t="str">
        <x:v>G4: Balanza con simulador</x:v>
      </x:c>
      <x:c r="L79" s="6" t="str">
        <x:v>Must</x:v>
      </x:c>
      <x:c r="M79" s="6" t="str">
        <x:v>Media</x:v>
      </x:c>
      <x:c r="N79" s="7" t="str">
        <x:v>Control manual identificado como tal.</x:v>
      </x:c>
      <x:c r="O79" s="7" t="str">
        <x:v>Peso cero, negativo o no numérico no se envía.</x:v>
      </x:c>
      <x:c r="P79" s="7" t="str">
        <x:v>POS no ofrece captura de peso para productos variables.</x:v>
      </x:c>
      <x:c r="Q79" s="8" t="n">
        <x:v>60</x:v>
      </x:c>
      <x:c r="R79" s="6" t="str">
        <x:v>Planificada</x:v>
      </x:c>
    </x:row>
    <x:row r="80" ht="82" customHeight="1">
      <x:c r="A80" s="7" t="str">
        <x:v>Mostrar precio e IVA del servidor</x:v>
      </x:c>
      <x:c r="B80" s="7" t="str">
        <x:v>Objetivo: Actualizar vista pesable con subtotal y total retornados por la venta.
Entrega verificable: CartItem pesable con unidad y precio por kg claros.
Aceptación: No se usa tasa local fija de IVA para mostrar el total.
Prioridad MoSCoW: Must. Dificultad: Media. Meta: Balanza con simulador.
Hallazgo o necesidad: POS no ofrece captura de peso para productos variables.</x:v>
      </x:c>
      <x:c r="C80" s="6" t="str">
        <x:v>admin</x:v>
      </x:c>
      <x:c r="D80" s="6" t="str">
        <x:v>Medio</x:v>
      </x:c>
      <x:c r="E80" s="6" t="str">
        <x:v>Sprint 2</x:v>
      </x:c>
      <x:c r="F80" s="6" t="str">
        <x:v>Semana 7</x:v>
      </x:c>
      <x:c r="G80" s="6" t="str">
        <x:v>Frontend</x:v>
      </x:c>
      <x:c r="H80" s="6" t="str">
        <x:v>1h</x:v>
      </x:c>
      <x:c r="I80" s="6" t="str">
        <x:v>S2-079</x:v>
      </x:c>
      <x:c r="J80" s="6" t="str">
        <x:v>Rodrigo</x:v>
      </x:c>
      <x:c r="K80" s="6" t="str">
        <x:v>G4: Balanza con simulador</x:v>
      </x:c>
      <x:c r="L80" s="6" t="str">
        <x:v>Must</x:v>
      </x:c>
      <x:c r="M80" s="6" t="str">
        <x:v>Media</x:v>
      </x:c>
      <x:c r="N80" s="7" t="str">
        <x:v>CartItem pesable con unidad y precio por kg claros.</x:v>
      </x:c>
      <x:c r="O80" s="7" t="str">
        <x:v>No se usa tasa local fija de IVA para mostrar el total.</x:v>
      </x:c>
      <x:c r="P80" s="7" t="str">
        <x:v>POS no ofrece captura de peso para productos variables.</x:v>
      </x:c>
      <x:c r="Q80" s="8" t="n">
        <x:v>60</x:v>
      </x:c>
      <x:c r="R80" s="6" t="str">
        <x:v>Planificada</x:v>
      </x:c>
    </x:row>
    <x:row r="81" ht="82" customHeight="1">
      <x:c r="A81" s="7" t="str">
        <x:v>Probar UX de balanza y respaldo</x:v>
      </x:c>
      <x:c r="B81" s="7" t="str">
        <x:v>Objetivo: Recorrer lectura estable, desconexión, entrada manual y modificación del peso.
Entrega verificable: Pruebas de componente o E2E del flujo pesable.
Aceptación: Cada ruta deja una cantidad correcta y una sola línea de carrito.
Prioridad MoSCoW: Must. Dificultad: Alta. Meta: Balanza con simulador.
Hallazgo o necesidad: POS no ofrece captura de peso para productos variables.</x:v>
      </x:c>
      <x:c r="C81" s="6" t="str">
        <x:v>admin</x:v>
      </x:c>
      <x:c r="D81" s="6" t="str">
        <x:v>Alta</x:v>
      </x:c>
      <x:c r="E81" s="6" t="str">
        <x:v>Sprint 2</x:v>
      </x:c>
      <x:c r="F81" s="6" t="str">
        <x:v>Semana 7</x:v>
      </x:c>
      <x:c r="G81" s="6" t="str">
        <x:v>Frontend</x:v>
      </x:c>
      <x:c r="H81" s="6" t="str">
        <x:v>1h30m</x:v>
      </x:c>
      <x:c r="I81" s="6" t="str">
        <x:v>S2-080</x:v>
      </x:c>
      <x:c r="J81" s="6" t="str">
        <x:v>Rodrigo</x:v>
      </x:c>
      <x:c r="K81" s="6" t="str">
        <x:v>G4: Balanza con simulador</x:v>
      </x:c>
      <x:c r="L81" s="6" t="str">
        <x:v>Must</x:v>
      </x:c>
      <x:c r="M81" s="6" t="str">
        <x:v>Alta</x:v>
      </x:c>
      <x:c r="N81" s="7" t="str">
        <x:v>Pruebas de componente o E2E del flujo pesable.</x:v>
      </x:c>
      <x:c r="O81" s="7" t="str">
        <x:v>Cada ruta deja una cantidad correcta y una sola línea de carrito.</x:v>
      </x:c>
      <x:c r="P81" s="7" t="str">
        <x:v>POS no ofrece captura de peso para productos variables.</x:v>
      </x:c>
      <x:c r="Q81" s="8" t="n">
        <x:v>90</x:v>
      </x:c>
      <x:c r="R81" s="6" t="str">
        <x:v>Planificada</x:v>
      </x:c>
    </x:row>
    <x:row r="82" ht="82" customHeight="1">
      <x:c r="A82" s="7" t="str">
        <x:v>Separar pruebas simuladas y físicas</x:v>
      </x:c>
      <x:c r="B82" s="7" t="str">
        <x:v>Objetivo: Definir qué puede certificarse en Sprint 2 y qué exige modelo, protocolo y dispositivo prestado.
Entrega verificable: Plan de validación con condición física explícita.
Aceptación: El informe no declara integración física completada por pruebas de mock.
Prioridad MoSCoW: Must. Dificultad: Baja. Meta: Balanza con simulador.
Hallazgo o necesidad: La validación física no es posible sin balanza ni protocolo.</x:v>
      </x:c>
      <x:c r="C82" s="6" t="str">
        <x:v>dprado2024</x:v>
      </x:c>
      <x:c r="D82" s="6" t="str">
        <x:v>Facil</x:v>
      </x:c>
      <x:c r="E82" s="6" t="str">
        <x:v>Sprint 2</x:v>
      </x:c>
      <x:c r="F82" s="6" t="str">
        <x:v>Semana 7</x:v>
      </x:c>
      <x:c r="G82" s="6" t="str">
        <x:v>Testing</x:v>
      </x:c>
      <x:c r="H82" s="6" t="str">
        <x:v>30m</x:v>
      </x:c>
      <x:c r="I82" s="6" t="str">
        <x:v>S2-081</x:v>
      </x:c>
      <x:c r="J82" s="6" t="str">
        <x:v>Daniel</x:v>
      </x:c>
      <x:c r="K82" s="6" t="str">
        <x:v>G4: Balanza con simulador</x:v>
      </x:c>
      <x:c r="L82" s="6" t="str">
        <x:v>Must</x:v>
      </x:c>
      <x:c r="M82" s="6" t="str">
        <x:v>Baja</x:v>
      </x:c>
      <x:c r="N82" s="7" t="str">
        <x:v>Plan de validación con condición física explícita.</x:v>
      </x:c>
      <x:c r="O82" s="7" t="str">
        <x:v>El informe no declara integración física completada por pruebas de mock.</x:v>
      </x:c>
      <x:c r="P82" s="7" t="str">
        <x:v>La validación física no es posible sin balanza ni protocolo.</x:v>
      </x:c>
      <x:c r="Q82" s="8" t="n">
        <x:v>30</x:v>
      </x:c>
      <x:c r="R82" s="6" t="str">
        <x:v>Planificada</x:v>
      </x:c>
    </x:row>
    <x:row r="83" ht="82" customHeight="1">
      <x:c r="A83" s="7" t="str">
        <x:v>Probar parser y redondeo de peso</x:v>
      </x:c>
      <x:c r="B83" s="7" t="str">
        <x:v>Objetivo: Cubrir formatos de lectura del simulador, estabilidad, decimales y datos inválidos.
Entrega verificable: Casos unitarios del adaptador y del cálculo.
Aceptación: Los valores fuera de rango se rechazan antes de llamar MS-5.
Prioridad MoSCoW: Must. Dificultad: Media. Meta: Balanza con simulador.
Hallazgo o necesidad: La validación física no es posible sin balanza ni protocolo.</x:v>
      </x:c>
      <x:c r="C83" s="6" t="str">
        <x:v>dprado2024</x:v>
      </x:c>
      <x:c r="D83" s="6" t="str">
        <x:v>Medio</x:v>
      </x:c>
      <x:c r="E83" s="6" t="str">
        <x:v>Sprint 2</x:v>
      </x:c>
      <x:c r="F83" s="6" t="str">
        <x:v>Semana 7</x:v>
      </x:c>
      <x:c r="G83" s="6" t="str">
        <x:v>Testing</x:v>
      </x:c>
      <x:c r="H83" s="6" t="str">
        <x:v>1h</x:v>
      </x:c>
      <x:c r="I83" s="6" t="str">
        <x:v>S2-082</x:v>
      </x:c>
      <x:c r="J83" s="6" t="str">
        <x:v>Daniel</x:v>
      </x:c>
      <x:c r="K83" s="6" t="str">
        <x:v>G4: Balanza con simulador</x:v>
      </x:c>
      <x:c r="L83" s="6" t="str">
        <x:v>Must</x:v>
      </x:c>
      <x:c r="M83" s="6" t="str">
        <x:v>Media</x:v>
      </x:c>
      <x:c r="N83" s="7" t="str">
        <x:v>Casos unitarios del adaptador y del cálculo.</x:v>
      </x:c>
      <x:c r="O83" s="7" t="str">
        <x:v>Los valores fuera de rango se rechazan antes de llamar MS-5.</x:v>
      </x:c>
      <x:c r="P83" s="7" t="str">
        <x:v>La validación física no es posible sin balanza ni protocolo.</x:v>
      </x:c>
      <x:c r="Q83" s="8" t="n">
        <x:v>60</x:v>
      </x:c>
      <x:c r="R83" s="6" t="str">
        <x:v>Planificada</x:v>
      </x:c>
    </x:row>
    <x:row r="84" ht="82" customHeight="1">
      <x:c r="A84" s="7" t="str">
        <x:v>Probar caída de balanza y modo manual</x:v>
      </x:c>
      <x:c r="B84" s="7" t="str">
        <x:v>Objetivo: Simular desconexión en medio del carrito y continuar con peso manual autorizado.
Entrega verificable: E2E de fallback de pesaje.
Aceptación: No se pierde ni duplica el ítem cuando cambia el origen del peso.
Prioridad MoSCoW: Must. Dificultad: Media. Meta: Balanza con simulador.
Hallazgo o necesidad: La validación física no es posible sin balanza ni protocolo.</x:v>
      </x:c>
      <x:c r="C84" s="6" t="str">
        <x:v>dprado2024</x:v>
      </x:c>
      <x:c r="D84" s="6" t="str">
        <x:v>Medio</x:v>
      </x:c>
      <x:c r="E84" s="6" t="str">
        <x:v>Sprint 2</x:v>
      </x:c>
      <x:c r="F84" s="6" t="str">
        <x:v>Semana 7</x:v>
      </x:c>
      <x:c r="G84" s="6" t="str">
        <x:v>Testing</x:v>
      </x:c>
      <x:c r="H84" s="6" t="str">
        <x:v>1h</x:v>
      </x:c>
      <x:c r="I84" s="6" t="str">
        <x:v>S2-083</x:v>
      </x:c>
      <x:c r="J84" s="6" t="str">
        <x:v>Daniel</x:v>
      </x:c>
      <x:c r="K84" s="6" t="str">
        <x:v>G4: Balanza con simulador</x:v>
      </x:c>
      <x:c r="L84" s="6" t="str">
        <x:v>Must</x:v>
      </x:c>
      <x:c r="M84" s="6" t="str">
        <x:v>Media</x:v>
      </x:c>
      <x:c r="N84" s="7" t="str">
        <x:v>E2E de fallback de pesaje.</x:v>
      </x:c>
      <x:c r="O84" s="7" t="str">
        <x:v>No se pierde ni duplica el ítem cuando cambia el origen del peso.</x:v>
      </x:c>
      <x:c r="P84" s="7" t="str">
        <x:v>La validación física no es posible sin balanza ni protocolo.</x:v>
      </x:c>
      <x:c r="Q84" s="8" t="n">
        <x:v>60</x:v>
      </x:c>
      <x:c r="R84" s="6" t="str">
        <x:v>Planificada</x:v>
      </x:c>
    </x:row>
    <x:row r="85" ht="82" customHeight="1">
      <x:c r="A85" s="7" t="str">
        <x:v>Probar cálculo pesable entre servicios</x:v>
      </x:c>
      <x:c r="B85" s="7" t="str">
        <x:v>Objetivo: Comparar precio por kg de MS-3, subtotal de MS-5 y desglose IVA de MS-2.
Entrega verificable: Prueba de integración con cifras deterministas.
Aceptación: El total del renderer coincide con el backend.
Prioridad MoSCoW: Must. Dificultad: Media. Meta: Balanza con simulador.
Hallazgo o necesidad: La validación física no es posible sin balanza ni protocolo.</x:v>
      </x:c>
      <x:c r="C85" s="6" t="str">
        <x:v>dprado2024</x:v>
      </x:c>
      <x:c r="D85" s="6" t="str">
        <x:v>Medio</x:v>
      </x:c>
      <x:c r="E85" s="6" t="str">
        <x:v>Sprint 2</x:v>
      </x:c>
      <x:c r="F85" s="6" t="str">
        <x:v>Semana 7</x:v>
      </x:c>
      <x:c r="G85" s="6" t="str">
        <x:v>Testing</x:v>
      </x:c>
      <x:c r="H85" s="6" t="str">
        <x:v>1h</x:v>
      </x:c>
      <x:c r="I85" s="6" t="str">
        <x:v>S2-084</x:v>
      </x:c>
      <x:c r="J85" s="6" t="str">
        <x:v>Daniel</x:v>
      </x:c>
      <x:c r="K85" s="6" t="str">
        <x:v>G4: Balanza con simulador</x:v>
      </x:c>
      <x:c r="L85" s="6" t="str">
        <x:v>Must</x:v>
      </x:c>
      <x:c r="M85" s="6" t="str">
        <x:v>Media</x:v>
      </x:c>
      <x:c r="N85" s="7" t="str">
        <x:v>Prueba de integración con cifras deterministas.</x:v>
      </x:c>
      <x:c r="O85" s="7" t="str">
        <x:v>El total del renderer coincide con el backend.</x:v>
      </x:c>
      <x:c r="P85" s="7" t="str">
        <x:v>La validación física no es posible sin balanza ni protocolo.</x:v>
      </x:c>
      <x:c r="Q85" s="8" t="n">
        <x:v>60</x:v>
      </x:c>
      <x:c r="R85" s="6" t="str">
        <x:v>Planificada</x:v>
      </x:c>
    </x:row>
    <x:row r="86" ht="82" customHeight="1">
      <x:c r="A86" s="7" t="str">
        <x:v>Preparar protocolo de prueba física</x:v>
      </x:c>
      <x:c r="B86" s="7" t="str">
        <x:v>Objetivo: Documentar identificación de puerto, comandos, estabilidad, tolerancia y evidencia a capturar cuando llegue el equipo.
Entrega verificable: Checklist ejecutable pendiente de modelo real.
Aceptación: La tarea física queda marcada condicionada, con criterios medibles.
Prioridad MoSCoW: Should. Dificultad: Alta. Meta: Balanza con simulador.
Hallazgo o necesidad: La validación física no es posible sin balanza ni protocolo.</x:v>
      </x:c>
      <x:c r="C86" s="6" t="str">
        <x:v>dprado2024</x:v>
      </x:c>
      <x:c r="D86" s="6" t="str">
        <x:v>Alta</x:v>
      </x:c>
      <x:c r="E86" s="6" t="str">
        <x:v>Sprint 2</x:v>
      </x:c>
      <x:c r="F86" s="6" t="str">
        <x:v>Semana 7</x:v>
      </x:c>
      <x:c r="G86" s="6" t="str">
        <x:v>Testing</x:v>
      </x:c>
      <x:c r="H86" s="6" t="str">
        <x:v>1h30m</x:v>
      </x:c>
      <x:c r="I86" s="6" t="str">
        <x:v>S2-085</x:v>
      </x:c>
      <x:c r="J86" s="6" t="str">
        <x:v>Daniel</x:v>
      </x:c>
      <x:c r="K86" s="6" t="str">
        <x:v>G4: Balanza con simulador</x:v>
      </x:c>
      <x:c r="L86" s="6" t="str">
        <x:v>Should</x:v>
      </x:c>
      <x:c r="M86" s="6" t="str">
        <x:v>Alta</x:v>
      </x:c>
      <x:c r="N86" s="7" t="str">
        <x:v>Checklist ejecutable pendiente de modelo real.</x:v>
      </x:c>
      <x:c r="O86" s="7" t="str">
        <x:v>La tarea física queda marcada condicionada, con criterios medibles.</x:v>
      </x:c>
      <x:c r="P86" s="7" t="str">
        <x:v>La validación física no es posible sin balanza ni protocolo.</x:v>
      </x:c>
      <x:c r="Q86" s="8" t="n">
        <x:v>90</x:v>
      </x:c>
      <x:c r="R86" s="6" t="str">
        <x:v>Planificada</x:v>
      </x:c>
    </x:row>
    <x:row r="87" ht="82" customHeight="1">
      <x:c r="A87" s="7" t="str">
        <x:v>Definir límites del terminal simulado</x:v>
      </x:c>
      <x:c r="B87" s="7" t="str">
        <x:v>Objetivo: Registrar operaciones simuladas de inicio, estado, cancelación y autorización, separadas de la pasarela.
Entrega verificable: Matriz de contrato, dependencia y evidencia pendiente.
Aceptación: No se declara compatibilidad con marcas ni lectores de tarjeta no probados.
Prioridad MoSCoW: Must. Dificultad: Baja. Meta: Terminal POS con simulador.
Hallazgo o necesidad: No hay terminal de pago ni protocolo físico; se requiere simulador desacoplado.</x:v>
      </x:c>
      <x:c r="C87" s="6" t="str">
        <x:v>dleiva2024</x:v>
      </x:c>
      <x:c r="D87" s="6" t="str">
        <x:v>Facil</x:v>
      </x:c>
      <x:c r="E87" s="6" t="str">
        <x:v>Sprint 2</x:v>
      </x:c>
      <x:c r="F87" s="6" t="str">
        <x:v>Semana 7</x:v>
      </x:c>
      <x:c r="G87" s="6" t="str">
        <x:v>DevOps</x:v>
      </x:c>
      <x:c r="H87" s="6" t="str">
        <x:v>30m</x:v>
      </x:c>
      <x:c r="I87" s="6" t="str">
        <x:v>S2-086</x:v>
      </x:c>
      <x:c r="J87" s="6" t="str">
        <x:v>Diego</x:v>
      </x:c>
      <x:c r="K87" s="6" t="str">
        <x:v>G5: Terminal POS con simulador</x:v>
      </x:c>
      <x:c r="L87" s="6" t="str">
        <x:v>Must</x:v>
      </x:c>
      <x:c r="M87" s="6" t="str">
        <x:v>Baja</x:v>
      </x:c>
      <x:c r="N87" s="7" t="str">
        <x:v>Matriz de contrato, dependencia y evidencia pendiente.</x:v>
      </x:c>
      <x:c r="O87" s="7" t="str">
        <x:v>No se declara compatibilidad con marcas ni lectores de tarjeta no probados.</x:v>
      </x:c>
      <x:c r="P87" s="7" t="str">
        <x:v>No hay terminal de pago ni protocolo físico; se requiere simulador desacoplado.</x:v>
      </x:c>
      <x:c r="Q87" s="8" t="n">
        <x:v>30</x:v>
      </x:c>
      <x:c r="R87" s="6" t="str">
        <x:v>Planificada</x:v>
      </x:c>
    </x:row>
    <x:row r="88" ht="82" customHeight="1">
      <x:c r="A88" s="7" t="str">
        <x:v>Preparar configuración de adaptadores</x:v>
      </x:c>
      <x:c r="B88" s="7" t="str">
        <x:v>Objetivo: Permitir seleccionar terminal mock por configuración de Electron; reservar proveedor real sin activar rutas desconocidas.
Entrega verificable: Configuración y ejemplo de desarrollo.
Aceptación: El modo mock arranca sin controladores ni permisos de hardware.
Prioridad MoSCoW: Must. Dificultad: Media. Meta: Terminal POS con simulador.
Hallazgo o necesidad: No hay terminal de pago ni protocolo físico; se requiere simulador desacoplado.</x:v>
      </x:c>
      <x:c r="C88" s="6" t="str">
        <x:v>dleiva2024</x:v>
      </x:c>
      <x:c r="D88" s="6" t="str">
        <x:v>Medio</x:v>
      </x:c>
      <x:c r="E88" s="6" t="str">
        <x:v>Sprint 2</x:v>
      </x:c>
      <x:c r="F88" s="6" t="str">
        <x:v>Semana 7</x:v>
      </x:c>
      <x:c r="G88" s="6" t="str">
        <x:v>DevOps</x:v>
      </x:c>
      <x:c r="H88" s="6" t="str">
        <x:v>1h</x:v>
      </x:c>
      <x:c r="I88" s="6" t="str">
        <x:v>S2-087</x:v>
      </x:c>
      <x:c r="J88" s="6" t="str">
        <x:v>Diego</x:v>
      </x:c>
      <x:c r="K88" s="6" t="str">
        <x:v>G5: Terminal POS con simulador</x:v>
      </x:c>
      <x:c r="L88" s="6" t="str">
        <x:v>Must</x:v>
      </x:c>
      <x:c r="M88" s="6" t="str">
        <x:v>Media</x:v>
      </x:c>
      <x:c r="N88" s="7" t="str">
        <x:v>Configuración y ejemplo de desarrollo.</x:v>
      </x:c>
      <x:c r="O88" s="7" t="str">
        <x:v>El modo mock arranca sin controladores ni permisos de hardware.</x:v>
      </x:c>
      <x:c r="P88" s="7" t="str">
        <x:v>No hay terminal de pago ni protocolo físico; se requiere simulador desacoplado.</x:v>
      </x:c>
      <x:c r="Q88" s="8" t="n">
        <x:v>60</x:v>
      </x:c>
      <x:c r="R88" s="6" t="str">
        <x:v>Planificada</x:v>
      </x:c>
    </x:row>
    <x:row r="89" ht="82" customHeight="1">
      <x:c r="A89" s="7" t="str">
        <x:v>Validar seguridad de IPC</x:v>
      </x:c>
      <x:c r="B89" s="7" t="str">
        <x:v>Objetivo: Revisar contextIsolation, preload y validación de argumentos para canales nuevos de dispositivos.
Entrega verificable: Revisión y correcciones de IPC.
Aceptación: No hay API genérica de ejecución o acceso serial en renderer.
Prioridad MoSCoW: Must. Dificultad: Media. Meta: Terminal POS con simulador.
Hallazgo o necesidad: No hay terminal de pago ni protocolo físico; se requiere simulador desacoplado.</x:v>
      </x:c>
      <x:c r="C89" s="6" t="str">
        <x:v>dleiva2024</x:v>
      </x:c>
      <x:c r="D89" s="6" t="str">
        <x:v>Medio</x:v>
      </x:c>
      <x:c r="E89" s="6" t="str">
        <x:v>Sprint 2</x:v>
      </x:c>
      <x:c r="F89" s="6" t="str">
        <x:v>Semana 7</x:v>
      </x:c>
      <x:c r="G89" s="6" t="str">
        <x:v>DevOps</x:v>
      </x:c>
      <x:c r="H89" s="6" t="str">
        <x:v>1h</x:v>
      </x:c>
      <x:c r="I89" s="6" t="str">
        <x:v>S2-088</x:v>
      </x:c>
      <x:c r="J89" s="6" t="str">
        <x:v>Diego</x:v>
      </x:c>
      <x:c r="K89" s="6" t="str">
        <x:v>G5: Terminal POS con simulador</x:v>
      </x:c>
      <x:c r="L89" s="6" t="str">
        <x:v>Must</x:v>
      </x:c>
      <x:c r="M89" s="6" t="str">
        <x:v>Media</x:v>
      </x:c>
      <x:c r="N89" s="7" t="str">
        <x:v>Revisión y correcciones de IPC.</x:v>
      </x:c>
      <x:c r="O89" s="7" t="str">
        <x:v>No hay API genérica de ejecución o acceso serial en renderer.</x:v>
      </x:c>
      <x:c r="P89" s="7" t="str">
        <x:v>No hay terminal de pago ni protocolo físico; se requiere simulador desacoplado.</x:v>
      </x:c>
      <x:c r="Q89" s="8" t="n">
        <x:v>60</x:v>
      </x:c>
      <x:c r="R89" s="6" t="str">
        <x:v>Planificada</x:v>
      </x:c>
    </x:row>
    <x:row r="90" ht="82" customHeight="1">
      <x:c r="A90" s="7" t="str">
        <x:v>Integrar smoke de simuladores</x:v>
      </x:c>
      <x:c r="B90" s="7" t="str">
        <x:v>Objetivo: Levantar Electron con balanza y terminal de pago simulados y comprobar estados aprobados y rechazados.
Entrega verificable: Script o guía de smoke reproducible.
Aceptación: El flujo corre en un equipo sin periféricos.
Prioridad MoSCoW: Must. Dificultad: Media. Meta: Terminal POS con simulador.
Hallazgo o necesidad: No hay terminal de pago ni protocolo físico; se requiere simulador desacoplado.</x:v>
      </x:c>
      <x:c r="C90" s="6" t="str">
        <x:v>dleiva2024</x:v>
      </x:c>
      <x:c r="D90" s="6" t="str">
        <x:v>Medio</x:v>
      </x:c>
      <x:c r="E90" s="6" t="str">
        <x:v>Sprint 2</x:v>
      </x:c>
      <x:c r="F90" s="6" t="str">
        <x:v>Semana 7</x:v>
      </x:c>
      <x:c r="G90" s="6" t="str">
        <x:v>DevOps</x:v>
      </x:c>
      <x:c r="H90" s="6" t="str">
        <x:v>1h</x:v>
      </x:c>
      <x:c r="I90" s="6" t="str">
        <x:v>S2-089</x:v>
      </x:c>
      <x:c r="J90" s="6" t="str">
        <x:v>Diego</x:v>
      </x:c>
      <x:c r="K90" s="6" t="str">
        <x:v>G5: Terminal POS con simulador</x:v>
      </x:c>
      <x:c r="L90" s="6" t="str">
        <x:v>Must</x:v>
      </x:c>
      <x:c r="M90" s="6" t="str">
        <x:v>Media</x:v>
      </x:c>
      <x:c r="N90" s="7" t="str">
        <x:v>Script o guía de smoke reproducible.</x:v>
      </x:c>
      <x:c r="O90" s="7" t="str">
        <x:v>El flujo corre en un equipo sin periféricos.</x:v>
      </x:c>
      <x:c r="P90" s="7" t="str">
        <x:v>No hay terminal de pago ni protocolo físico; se requiere simulador desacoplado.</x:v>
      </x:c>
      <x:c r="Q90" s="8" t="n">
        <x:v>60</x:v>
      </x:c>
      <x:c r="R90" s="6" t="str">
        <x:v>Planificada</x:v>
      </x:c>
    </x:row>
    <x:row r="91" ht="82" customHeight="1">
      <x:c r="A91" s="7" t="str">
        <x:v>Documentar sustitución por hardware real</x:v>
      </x:c>
      <x:c r="B91" s="7" t="str">
        <x:v>Objetivo: Definir datos mínimos de balanza y terminal: fabricante, modelo, protocolo, SDK, conectividad y equipo de prueba.
Entrega verificable: Guía de conexión y bloqueo físico explícito.
Aceptación: El equipo sabe qué aportar para cerrar las dos metas físicas.
Prioridad MoSCoW: Should. Dificultad: Alta. Meta: Terminal POS con simulador.
Hallazgo o necesidad: No hay terminal de pago ni protocolo físico; se requiere simulador desacoplado.</x:v>
      </x:c>
      <x:c r="C91" s="6" t="str">
        <x:v>dleiva2024</x:v>
      </x:c>
      <x:c r="D91" s="6" t="str">
        <x:v>Alta</x:v>
      </x:c>
      <x:c r="E91" s="6" t="str">
        <x:v>Sprint 2</x:v>
      </x:c>
      <x:c r="F91" s="6" t="str">
        <x:v>Semana 7</x:v>
      </x:c>
      <x:c r="G91" s="6" t="str">
        <x:v>DevOps</x:v>
      </x:c>
      <x:c r="H91" s="6" t="str">
        <x:v>1h30m</x:v>
      </x:c>
      <x:c r="I91" s="6" t="str">
        <x:v>S2-090</x:v>
      </x:c>
      <x:c r="J91" s="6" t="str">
        <x:v>Diego</x:v>
      </x:c>
      <x:c r="K91" s="6" t="str">
        <x:v>G5: Terminal POS con simulador</x:v>
      </x:c>
      <x:c r="L91" s="6" t="str">
        <x:v>Should</x:v>
      </x:c>
      <x:c r="M91" s="6" t="str">
        <x:v>Alta</x:v>
      </x:c>
      <x:c r="N91" s="7" t="str">
        <x:v>Guía de conexión y bloqueo físico explícito.</x:v>
      </x:c>
      <x:c r="O91" s="7" t="str">
        <x:v>El equipo sabe qué aportar para cerrar las dos metas físicas.</x:v>
      </x:c>
      <x:c r="P91" s="7" t="str">
        <x:v>No hay terminal de pago ni protocolo físico; se requiere simulador desacoplado.</x:v>
      </x:c>
      <x:c r="Q91" s="8" t="n">
        <x:v>90</x:v>
      </x:c>
      <x:c r="R91" s="6" t="str">
        <x:v>Planificada</x:v>
      </x:c>
    </x:row>
    <x:row r="92" ht="82" customHeight="1">
      <x:c r="A92" s="7" t="str">
        <x:v>Definir alcance de anulación Sprint 2</x:v>
      </x:c>
      <x:c r="B92" s="7" t="str">
        <x:v>Objetivo: Limitar a anulación total autorizada y separar devolución parcial para otro sprint.
Entrega verificable: Contrato HTTP y permisos ADMIN definidos.
Aceptación: No se promete reembolso de tarjeta sin respuesta del simulador.
Prioridad MoSCoW: Must. Dificultad: Baja. Meta: Carrito y venta funcional.
Hallazgo o necesidad: La anulación solo existe en servicio; faltan ruta y reglas para pagos aprobados.</x:v>
      </x:c>
      <x:c r="C92" s="6" t="str">
        <x:v>spereda2024</x:v>
      </x:c>
      <x:c r="D92" s="6" t="str">
        <x:v>Facil</x:v>
      </x:c>
      <x:c r="E92" s="6" t="str">
        <x:v>Sprint 2</x:v>
      </x:c>
      <x:c r="F92" s="6" t="str">
        <x:v>Semana 8</x:v>
      </x:c>
      <x:c r="G92" s="6" t="str">
        <x:v>Backend</x:v>
      </x:c>
      <x:c r="H92" s="6" t="str">
        <x:v>30m</x:v>
      </x:c>
      <x:c r="I92" s="6" t="str">
        <x:v>S2-091</x:v>
      </x:c>
      <x:c r="J92" s="6" t="str">
        <x:v>Sebastián</x:v>
      </x:c>
      <x:c r="K92" s="6" t="str">
        <x:v>G2: Carrito y venta funcional</x:v>
      </x:c>
      <x:c r="L92" s="6" t="str">
        <x:v>Must</x:v>
      </x:c>
      <x:c r="M92" s="6" t="str">
        <x:v>Baja</x:v>
      </x:c>
      <x:c r="N92" s="7" t="str">
        <x:v>Contrato HTTP y permisos ADMIN definidos.</x:v>
      </x:c>
      <x:c r="O92" s="7" t="str">
        <x:v>No se promete reembolso de tarjeta sin respuesta del simulador.</x:v>
      </x:c>
      <x:c r="P92" s="7" t="str">
        <x:v>La anulación solo existe en servicio; faltan ruta y reglas para pagos aprobados.</x:v>
      </x:c>
      <x:c r="Q92" s="8" t="n">
        <x:v>30</x:v>
      </x:c>
      <x:c r="R92" s="6" t="str">
        <x:v>Planificada</x:v>
      </x:c>
    </x:row>
    <x:row r="93" ht="82" customHeight="1">
      <x:c r="A93" s="7" t="str">
        <x:v>Exponer anulación de venta</x:v>
      </x:c>
      <x:c r="B93" s="7" t="str">
        <x:v>Objetivo: Agregar POST /ventas/{id}/anular con motivo, JWT, tenant y estado permitido.
Entrega verificable: Controller con errores 400, 403, 404 y 409.
Aceptación: Venta de otro tenant y rol no autorizado no pueden anularse.
Prioridad MoSCoW: Must. Dificultad: Media. Meta: Carrito y venta funcional.
Hallazgo o necesidad: La anulación solo existe en servicio; faltan ruta y reglas para pagos aprobados.</x:v>
      </x:c>
      <x:c r="C93" s="6" t="str">
        <x:v>spereda2024</x:v>
      </x:c>
      <x:c r="D93" s="6" t="str">
        <x:v>Medio</x:v>
      </x:c>
      <x:c r="E93" s="6" t="str">
        <x:v>Sprint 2</x:v>
      </x:c>
      <x:c r="F93" s="6" t="str">
        <x:v>Semana 8</x:v>
      </x:c>
      <x:c r="G93" s="6" t="str">
        <x:v>Backend</x:v>
      </x:c>
      <x:c r="H93" s="6" t="str">
        <x:v>1h</x:v>
      </x:c>
      <x:c r="I93" s="6" t="str">
        <x:v>S2-092</x:v>
      </x:c>
      <x:c r="J93" s="6" t="str">
        <x:v>Sebastián</x:v>
      </x:c>
      <x:c r="K93" s="6" t="str">
        <x:v>G2: Carrito y venta funcional</x:v>
      </x:c>
      <x:c r="L93" s="6" t="str">
        <x:v>Must</x:v>
      </x:c>
      <x:c r="M93" s="6" t="str">
        <x:v>Media</x:v>
      </x:c>
      <x:c r="N93" s="7" t="str">
        <x:v>Controller con errores 400, 403, 404 y 409.</x:v>
      </x:c>
      <x:c r="O93" s="7" t="str">
        <x:v>Venta de otro tenant y rol no autorizado no pueden anularse.</x:v>
      </x:c>
      <x:c r="P93" s="7" t="str">
        <x:v>La anulación solo existe en servicio; faltan ruta y reglas para pagos aprobados.</x:v>
      </x:c>
      <x:c r="Q93" s="8" t="n">
        <x:v>60</x:v>
      </x:c>
      <x:c r="R93" s="6" t="str">
        <x:v>Planificada</x:v>
      </x:c>
    </x:row>
    <x:row r="94" ht="82" customHeight="1">
      <x:c r="A94" s="7" t="str">
        <x:v>Reversar tarjeta por pasarela simulada</x:v>
      </x:c>
      <x:c r="B94" s="7" t="str">
        <x:v>Objetivo: Solicitar reversa usando referencia opaca antes de confirmar anulación de pago tarjeta.
Entrega verificable: Método de reversa en gateway y estado persistido.
Aceptación: Reversa rechazada deja caso visible sin fingir reembolso completo.
Prioridad MoSCoW: Must. Dificultad: Media. Meta: Carrito y venta funcional.
Hallazgo o necesidad: La anulación solo existe en servicio; faltan ruta y reglas para pagos aprobados.</x:v>
      </x:c>
      <x:c r="C94" s="6" t="str">
        <x:v>spereda2024</x:v>
      </x:c>
      <x:c r="D94" s="6" t="str">
        <x:v>Medio</x:v>
      </x:c>
      <x:c r="E94" s="6" t="str">
        <x:v>Sprint 2</x:v>
      </x:c>
      <x:c r="F94" s="6" t="str">
        <x:v>Semana 8</x:v>
      </x:c>
      <x:c r="G94" s="6" t="str">
        <x:v>Backend</x:v>
      </x:c>
      <x:c r="H94" s="6" t="str">
        <x:v>1h</x:v>
      </x:c>
      <x:c r="I94" s="6" t="str">
        <x:v>S2-093</x:v>
      </x:c>
      <x:c r="J94" s="6" t="str">
        <x:v>Sebastián</x:v>
      </x:c>
      <x:c r="K94" s="6" t="str">
        <x:v>G2: Carrito y venta funcional</x:v>
      </x:c>
      <x:c r="L94" s="6" t="str">
        <x:v>Must</x:v>
      </x:c>
      <x:c r="M94" s="6" t="str">
        <x:v>Media</x:v>
      </x:c>
      <x:c r="N94" s="7" t="str">
        <x:v>Método de reversa en gateway y estado persistido.</x:v>
      </x:c>
      <x:c r="O94" s="7" t="str">
        <x:v>Reversa rechazada deja caso visible sin fingir reembolso completo.</x:v>
      </x:c>
      <x:c r="P94" s="7" t="str">
        <x:v>La anulación solo existe en servicio; faltan ruta y reglas para pagos aprobados.</x:v>
      </x:c>
      <x:c r="Q94" s="8" t="n">
        <x:v>60</x:v>
      </x:c>
      <x:c r="R94" s="6" t="str">
        <x:v>Planificada</x:v>
      </x:c>
    </x:row>
    <x:row r="95" ht="82" customHeight="1">
      <x:c r="A95" s="7" t="str">
        <x:v>Publicar sale.reversed por outbox</x:v>
      </x:c>
      <x:c r="B95" s="7" t="str">
        <x:v>Objetivo: Registrar evento de anulación con EventId estable y relación a venta original.
Entrega verificable: Payload y outbox de sale.reversed.
Aceptación: Un reintento no publica una reversa lógica distinta.
Prioridad MoSCoW: Must. Dificultad: Media. Meta: Carrito y venta funcional.
Hallazgo o necesidad: La anulación solo existe en servicio; faltan ruta y reglas para pagos aprobados.</x:v>
      </x:c>
      <x:c r="C95" s="6" t="str">
        <x:v>spereda2024</x:v>
      </x:c>
      <x:c r="D95" s="6" t="str">
        <x:v>Medio</x:v>
      </x:c>
      <x:c r="E95" s="6" t="str">
        <x:v>Sprint 2</x:v>
      </x:c>
      <x:c r="F95" s="6" t="str">
        <x:v>Semana 8</x:v>
      </x:c>
      <x:c r="G95" s="6" t="str">
        <x:v>Backend</x:v>
      </x:c>
      <x:c r="H95" s="6" t="str">
        <x:v>1h</x:v>
      </x:c>
      <x:c r="I95" s="6" t="str">
        <x:v>S2-094</x:v>
      </x:c>
      <x:c r="J95" s="6" t="str">
        <x:v>Sebastián</x:v>
      </x:c>
      <x:c r="K95" s="6" t="str">
        <x:v>G2: Carrito y venta funcional</x:v>
      </x:c>
      <x:c r="L95" s="6" t="str">
        <x:v>Must</x:v>
      </x:c>
      <x:c r="M95" s="6" t="str">
        <x:v>Media</x:v>
      </x:c>
      <x:c r="N95" s="7" t="str">
        <x:v>Payload y outbox de sale.reversed.</x:v>
      </x:c>
      <x:c r="O95" s="7" t="str">
        <x:v>Un reintento no publica una reversa lógica distinta.</x:v>
      </x:c>
      <x:c r="P95" s="7" t="str">
        <x:v>La anulación solo existe en servicio; faltan ruta y reglas para pagos aprobados.</x:v>
      </x:c>
      <x:c r="Q95" s="8" t="n">
        <x:v>60</x:v>
      </x:c>
      <x:c r="R95" s="6" t="str">
        <x:v>Planificada</x:v>
      </x:c>
    </x:row>
    <x:row r="96" ht="82" customHeight="1">
      <x:c r="A96" s="7" t="str">
        <x:v>Probar anulación y permisos</x:v>
      </x:c>
      <x:c r="B96" s="7" t="str">
        <x:v>Objetivo: Cubrir efectivo, tarjeta aprobada, rechazo de reversa, repetición y tenant ajeno.
Entrega verificable: Pruebas de integración de anulación total.
Aceptación: Las ventas y eventos conservan estado coherente en cada escenario.
Prioridad MoSCoW: Must. Dificultad: Alta. Meta: Carrito y venta funcional.
Hallazgo o necesidad: La anulación solo existe en servicio; faltan ruta y reglas para pagos aprobados.</x:v>
      </x:c>
      <x:c r="C96" s="6" t="str">
        <x:v>spereda2024</x:v>
      </x:c>
      <x:c r="D96" s="6" t="str">
        <x:v>Alta</x:v>
      </x:c>
      <x:c r="E96" s="6" t="str">
        <x:v>Sprint 2</x:v>
      </x:c>
      <x:c r="F96" s="6" t="str">
        <x:v>Semana 8</x:v>
      </x:c>
      <x:c r="G96" s="6" t="str">
        <x:v>Backend</x:v>
      </x:c>
      <x:c r="H96" s="6" t="str">
        <x:v>1h30m</x:v>
      </x:c>
      <x:c r="I96" s="6" t="str">
        <x:v>S2-095</x:v>
      </x:c>
      <x:c r="J96" s="6" t="str">
        <x:v>Sebastián</x:v>
      </x:c>
      <x:c r="K96" s="6" t="str">
        <x:v>G2: Carrito y venta funcional</x:v>
      </x:c>
      <x:c r="L96" s="6" t="str">
        <x:v>Must</x:v>
      </x:c>
      <x:c r="M96" s="6" t="str">
        <x:v>Alta</x:v>
      </x:c>
      <x:c r="N96" s="7" t="str">
        <x:v>Pruebas de integración de anulación total.</x:v>
      </x:c>
      <x:c r="O96" s="7" t="str">
        <x:v>Las ventas y eventos conservan estado coherente en cada escenario.</x:v>
      </x:c>
      <x:c r="P96" s="7" t="str">
        <x:v>La anulación solo existe en servicio; faltan ruta y reglas para pagos aprobados.</x:v>
      </x:c>
      <x:c r="Q96" s="8" t="n">
        <x:v>90</x:v>
      </x:c>
      <x:c r="R96" s="6" t="str">
        <x:v>Planificada</x:v>
      </x:c>
    </x:row>
    <x:row r="97" ht="82" customHeight="1">
      <x:c r="A97" s="7" t="str">
        <x:v>Definir política de errores Kafka</x:v>
      </x:c>
      <x:c r="B97" s="7" t="str">
        <x:v>Objetivo: Separar duplicado, payload inválido, fallo transitorio y evento irrecuperable con destino de error.
Entrega verificable: Política de commit, reintento y cola de error.
Aceptación: No se confirma offset de fallo transitorio sin recuperación.
Prioridad MoSCoW: Must. Dificultad: Baja. Meta: Carrito y venta funcional.
Hallazgo o necesidad: MS-4 confirma offsets fallidos y descuenta por ítem fuera de una transacción.</x:v>
      </x:c>
      <x:c r="C97" s="6" t="str">
        <x:v>nmartinez2024</x:v>
      </x:c>
      <x:c r="D97" s="6" t="str">
        <x:v>Facil</x:v>
      </x:c>
      <x:c r="E97" s="6" t="str">
        <x:v>Sprint 2</x:v>
      </x:c>
      <x:c r="F97" s="6" t="str">
        <x:v>Semana 8</x:v>
      </x:c>
      <x:c r="G97" s="6" t="str">
        <x:v>Backend</x:v>
      </x:c>
      <x:c r="H97" s="6" t="str">
        <x:v>30m</x:v>
      </x:c>
      <x:c r="I97" s="6" t="str">
        <x:v>S2-096</x:v>
      </x:c>
      <x:c r="J97" s="6" t="str">
        <x:v>Nicolás</x:v>
      </x:c>
      <x:c r="K97" s="6" t="str">
        <x:v>G2: Carrito y venta funcional</x:v>
      </x:c>
      <x:c r="L97" s="6" t="str">
        <x:v>Must</x:v>
      </x:c>
      <x:c r="M97" s="6" t="str">
        <x:v>Baja</x:v>
      </x:c>
      <x:c r="N97" s="7" t="str">
        <x:v>Política de commit, reintento y cola de error.</x:v>
      </x:c>
      <x:c r="O97" s="7" t="str">
        <x:v>No se confirma offset de fallo transitorio sin recuperación.</x:v>
      </x:c>
      <x:c r="P97" s="7" t="str">
        <x:v>MS-4 confirma offsets fallidos y descuenta por ítem fuera de una transacción.</x:v>
      </x:c>
      <x:c r="Q97" s="8" t="n">
        <x:v>30</x:v>
      </x:c>
      <x:c r="R97" s="6" t="str">
        <x:v>Planificada</x:v>
      </x:c>
    </x:row>
    <x:row r="98" ht="82" customHeight="1">
      <x:c r="A98" s="7" t="str">
        <x:v>Agrupar descuento e idempotencia</x:v>
      </x:c>
      <x:c r="B98" s="7" t="str">
        <x:v>Objetivo: Descontar todos los ítems y registrar EventId dentro de una única transacción del WarehouseDbContext.
Entrega verificable: Cambio de repositorio y consumidor.
Aceptación: Si falla el segundo ítem se revierte el primero.
Prioridad MoSCoW: Must. Dificultad: Media. Meta: Carrito y venta funcional.
Hallazgo o necesidad: MS-4 confirma offsets fallidos y descuenta por ítem fuera de una transacción.</x:v>
      </x:c>
      <x:c r="C98" s="6" t="str">
        <x:v>nmartinez2024</x:v>
      </x:c>
      <x:c r="D98" s="6" t="str">
        <x:v>Medio</x:v>
      </x:c>
      <x:c r="E98" s="6" t="str">
        <x:v>Sprint 2</x:v>
      </x:c>
      <x:c r="F98" s="6" t="str">
        <x:v>Semana 8</x:v>
      </x:c>
      <x:c r="G98" s="6" t="str">
        <x:v>Backend</x:v>
      </x:c>
      <x:c r="H98" s="6" t="str">
        <x:v>1h</x:v>
      </x:c>
      <x:c r="I98" s="6" t="str">
        <x:v>S2-097</x:v>
      </x:c>
      <x:c r="J98" s="6" t="str">
        <x:v>Nicolás</x:v>
      </x:c>
      <x:c r="K98" s="6" t="str">
        <x:v>G2: Carrito y venta funcional</x:v>
      </x:c>
      <x:c r="L98" s="6" t="str">
        <x:v>Must</x:v>
      </x:c>
      <x:c r="M98" s="6" t="str">
        <x:v>Media</x:v>
      </x:c>
      <x:c r="N98" s="7" t="str">
        <x:v>Cambio de repositorio y consumidor.</x:v>
      </x:c>
      <x:c r="O98" s="7" t="str">
        <x:v>Si falla el segundo ítem se revierte el primero.</x:v>
      </x:c>
      <x:c r="P98" s="7" t="str">
        <x:v>MS-4 confirma offsets fallidos y descuenta por ítem fuera de una transacción.</x:v>
      </x:c>
      <x:c r="Q98" s="8" t="n">
        <x:v>60</x:v>
      </x:c>
      <x:c r="R98" s="6" t="str">
        <x:v>Planificada</x:v>
      </x:c>
    </x:row>
    <x:row r="99" ht="82" customHeight="1">
      <x:c r="A99" s="7" t="str">
        <x:v>Evitar stock negativo por evento</x:v>
      </x:c>
      <x:c r="B99" s="7" t="str">
        <x:v>Objetivo: Validar disponibilidad antes de guardar y registrar incidencia recuperable si no hay stock.
Entrega verificable: Validación explícita y respuesta del consumidor.
Aceptación: La cantidad de stock no baja de cero por un mensaje inválido.
Prioridad MoSCoW: Must. Dificultad: Media. Meta: Carrito y venta funcional.
Hallazgo o necesidad: MS-4 confirma offsets fallidos y descuenta por ítem fuera de una transacción.</x:v>
      </x:c>
      <x:c r="C99" s="6" t="str">
        <x:v>nmartinez2024</x:v>
      </x:c>
      <x:c r="D99" s="6" t="str">
        <x:v>Medio</x:v>
      </x:c>
      <x:c r="E99" s="6" t="str">
        <x:v>Sprint 2</x:v>
      </x:c>
      <x:c r="F99" s="6" t="str">
        <x:v>Semana 8</x:v>
      </x:c>
      <x:c r="G99" s="6" t="str">
        <x:v>Backend</x:v>
      </x:c>
      <x:c r="H99" s="6" t="str">
        <x:v>1h</x:v>
      </x:c>
      <x:c r="I99" s="6" t="str">
        <x:v>S2-098</x:v>
      </x:c>
      <x:c r="J99" s="6" t="str">
        <x:v>Nicolás</x:v>
      </x:c>
      <x:c r="K99" s="6" t="str">
        <x:v>G2: Carrito y venta funcional</x:v>
      </x:c>
      <x:c r="L99" s="6" t="str">
        <x:v>Must</x:v>
      </x:c>
      <x:c r="M99" s="6" t="str">
        <x:v>Media</x:v>
      </x:c>
      <x:c r="N99" s="7" t="str">
        <x:v>Validación explícita y respuesta del consumidor.</x:v>
      </x:c>
      <x:c r="O99" s="7" t="str">
        <x:v>La cantidad de stock no baja de cero por un mensaje inválido.</x:v>
      </x:c>
      <x:c r="P99" s="7" t="str">
        <x:v>MS-4 confirma offsets fallidos y descuenta por ítem fuera de una transacción.</x:v>
      </x:c>
      <x:c r="Q99" s="8" t="n">
        <x:v>60</x:v>
      </x:c>
      <x:c r="R99" s="6" t="str">
        <x:v>Planificada</x:v>
      </x:c>
    </x:row>
    <x:row r="100" ht="82" customHeight="1">
      <x:c r="A100" s="7" t="str">
        <x:v>Corregir commit y recuperación</x:v>
      </x:c>
      <x:c r="B100" s="7" t="str">
        <x:v>Objetivo: Confirmar offset solo tras transacción válida o manejo explícito de poison message.
Entrega verificable: Loop Kafka con estrategia de recuperación registrada.
Aceptación: Un fallo temporal se reprocesa y no se pierde silenciosamente.
Prioridad MoSCoW: Must. Dificultad: Media. Meta: Carrito y venta funcional.
Hallazgo o necesidad: MS-4 confirma offsets fallidos y descuenta por ítem fuera de una transacción.</x:v>
      </x:c>
      <x:c r="C100" s="6" t="str">
        <x:v>nmartinez2024</x:v>
      </x:c>
      <x:c r="D100" s="6" t="str">
        <x:v>Medio</x:v>
      </x:c>
      <x:c r="E100" s="6" t="str">
        <x:v>Sprint 2</x:v>
      </x:c>
      <x:c r="F100" s="6" t="str">
        <x:v>Semana 8</x:v>
      </x:c>
      <x:c r="G100" s="6" t="str">
        <x:v>Backend</x:v>
      </x:c>
      <x:c r="H100" s="6" t="str">
        <x:v>1h</x:v>
      </x:c>
      <x:c r="I100" s="6" t="str">
        <x:v>S2-099</x:v>
      </x:c>
      <x:c r="J100" s="6" t="str">
        <x:v>Nicolás</x:v>
      </x:c>
      <x:c r="K100" s="6" t="str">
        <x:v>G2: Carrito y venta funcional</x:v>
      </x:c>
      <x:c r="L100" s="6" t="str">
        <x:v>Must</x:v>
      </x:c>
      <x:c r="M100" s="6" t="str">
        <x:v>Media</x:v>
      </x:c>
      <x:c r="N100" s="7" t="str">
        <x:v>Loop Kafka con estrategia de recuperación registrada.</x:v>
      </x:c>
      <x:c r="O100" s="7" t="str">
        <x:v>Un fallo temporal se reprocesa y no se pierde silenciosamente.</x:v>
      </x:c>
      <x:c r="P100" s="7" t="str">
        <x:v>MS-4 confirma offsets fallidos y descuenta por ítem fuera de una transacción.</x:v>
      </x:c>
      <x:c r="Q100" s="8" t="n">
        <x:v>60</x:v>
      </x:c>
      <x:c r="R100" s="6" t="str">
        <x:v>Planificada</x:v>
      </x:c>
    </x:row>
    <x:row r="101" ht="82" customHeight="1">
      <x:c r="A101" s="7" t="str">
        <x:v>Probar duplicados y fallo intermedio</x:v>
      </x:c>
      <x:c r="B101" s="7" t="str">
        <x:v>Objetivo: Publicar eventos duplicados y provocar fallo a mitad de ítems.
Entrega verificable: Pruebas de integración de MS-4 con broker.
Aceptación: Se descuenta una vez y no queda stock parcialmente descontado.
Prioridad MoSCoW: Must. Dificultad: Alta. Meta: Carrito y venta funcional.
Hallazgo o necesidad: MS-4 confirma offsets fallidos y descuenta por ítem fuera de una transacción.</x:v>
      </x:c>
      <x:c r="C101" s="6" t="str">
        <x:v>nmartinez2024</x:v>
      </x:c>
      <x:c r="D101" s="6" t="str">
        <x:v>Alta</x:v>
      </x:c>
      <x:c r="E101" s="6" t="str">
        <x:v>Sprint 2</x:v>
      </x:c>
      <x:c r="F101" s="6" t="str">
        <x:v>Semana 8</x:v>
      </x:c>
      <x:c r="G101" s="6" t="str">
        <x:v>Backend</x:v>
      </x:c>
      <x:c r="H101" s="6" t="str">
        <x:v>1h30m</x:v>
      </x:c>
      <x:c r="I101" s="6" t="str">
        <x:v>S2-100</x:v>
      </x:c>
      <x:c r="J101" s="6" t="str">
        <x:v>Nicolás</x:v>
      </x:c>
      <x:c r="K101" s="6" t="str">
        <x:v>G2: Carrito y venta funcional</x:v>
      </x:c>
      <x:c r="L101" s="6" t="str">
        <x:v>Must</x:v>
      </x:c>
      <x:c r="M101" s="6" t="str">
        <x:v>Alta</x:v>
      </x:c>
      <x:c r="N101" s="7" t="str">
        <x:v>Pruebas de integración de MS-4 con broker.</x:v>
      </x:c>
      <x:c r="O101" s="7" t="str">
        <x:v>Se descuenta una vez y no queda stock parcialmente descontado.</x:v>
      </x:c>
      <x:c r="P101" s="7" t="str">
        <x:v>MS-4 confirma offsets fallidos y descuenta por ítem fuera de una transacción.</x:v>
      </x:c>
      <x:c r="Q101" s="8" t="n">
        <x:v>90</x:v>
      </x:c>
      <x:c r="R101" s="6" t="str">
        <x:v>Planificada</x:v>
      </x:c>
    </x:row>
    <x:row r="102" ht="82" customHeight="1">
      <x:c r="A102" s="7" t="str">
        <x:v>Revisar rutas Admin y rol activo</x:v>
      </x:c>
      <x:c r="B102" s="7" t="str">
        <x:v>Objetivo: Ocultar navegación para CAJERO sin tomar el ocultamiento como sustituto del control backend.
Entrega verificable: Guardia y navegación coherentes con active_role.
Aceptación: Un usuario sin rol ADMIN no ve ni abre la página Admin.
Prioridad MoSCoW: Must. Dificultad: Baja. Meta: Página Administración.
Hallazgo o necesidad: La página Admin necesita cierre funcional y validación de regresión.</x:v>
      </x:c>
      <x:c r="C102" s="6" t="str">
        <x:v>msanhueza2024</x:v>
      </x:c>
      <x:c r="D102" s="6" t="str">
        <x:v>Facil</x:v>
      </x:c>
      <x:c r="E102" s="6" t="str">
        <x:v>Sprint 2</x:v>
      </x:c>
      <x:c r="F102" s="6" t="str">
        <x:v>Semana 8</x:v>
      </x:c>
      <x:c r="G102" s="6" t="str">
        <x:v>Frontend</x:v>
      </x:c>
      <x:c r="H102" s="6" t="str">
        <x:v>30m</x:v>
      </x:c>
      <x:c r="I102" s="6" t="str">
        <x:v>S2-101</x:v>
      </x:c>
      <x:c r="J102" s="6" t="str">
        <x:v>Martín</x:v>
      </x:c>
      <x:c r="K102" s="6" t="str">
        <x:v>G1: Página Administración</x:v>
      </x:c>
      <x:c r="L102" s="6" t="str">
        <x:v>Must</x:v>
      </x:c>
      <x:c r="M102" s="6" t="str">
        <x:v>Baja</x:v>
      </x:c>
      <x:c r="N102" s="7" t="str">
        <x:v>Guardia y navegación coherentes con active_role.</x:v>
      </x:c>
      <x:c r="O102" s="7" t="str">
        <x:v>Un usuario sin rol ADMIN no ve ni abre la página Admin.</x:v>
      </x:c>
      <x:c r="P102" s="7" t="str">
        <x:v>La página Admin necesita cierre funcional y validación de regresión.</x:v>
      </x:c>
      <x:c r="Q102" s="8" t="n">
        <x:v>30</x:v>
      </x:c>
      <x:c r="R102" s="6" t="str">
        <x:v>Planificada</x:v>
      </x:c>
    </x:row>
    <x:row r="103" ht="82" customHeight="1">
      <x:c r="A103" s="7" t="str">
        <x:v>Completar estados de usuarios inactivos</x:v>
      </x:c>
      <x:c r="B103" s="7" t="str">
        <x:v>Objetivo: Mostrar estado y bloquear edición de usuarios desactivados según contrato de MS-1.
Entrega verificable: Tabla de usuarios con acciones condicionadas.
Aceptación: Un usuario inactivo permanece visible y distinguible.
Prioridad MoSCoW: Must. Dificultad: Media. Meta: Página Administración.
Hallazgo o necesidad: La página Admin necesita cierre funcional y validación de regresión.</x:v>
      </x:c>
      <x:c r="C103" s="6" t="str">
        <x:v>msanhueza2024</x:v>
      </x:c>
      <x:c r="D103" s="6" t="str">
        <x:v>Medio</x:v>
      </x:c>
      <x:c r="E103" s="6" t="str">
        <x:v>Sprint 2</x:v>
      </x:c>
      <x:c r="F103" s="6" t="str">
        <x:v>Semana 8</x:v>
      </x:c>
      <x:c r="G103" s="6" t="str">
        <x:v>Frontend</x:v>
      </x:c>
      <x:c r="H103" s="6" t="str">
        <x:v>1h</x:v>
      </x:c>
      <x:c r="I103" s="6" t="str">
        <x:v>S2-102</x:v>
      </x:c>
      <x:c r="J103" s="6" t="str">
        <x:v>Martín</x:v>
      </x:c>
      <x:c r="K103" s="6" t="str">
        <x:v>G1: Página Administración</x:v>
      </x:c>
      <x:c r="L103" s="6" t="str">
        <x:v>Must</x:v>
      </x:c>
      <x:c r="M103" s="6" t="str">
        <x:v>Media</x:v>
      </x:c>
      <x:c r="N103" s="7" t="str">
        <x:v>Tabla de usuarios con acciones condicionadas.</x:v>
      </x:c>
      <x:c r="O103" s="7" t="str">
        <x:v>Un usuario inactivo permanece visible y distinguible.</x:v>
      </x:c>
      <x:c r="P103" s="7" t="str">
        <x:v>La página Admin necesita cierre funcional y validación de regresión.</x:v>
      </x:c>
      <x:c r="Q103" s="8" t="n">
        <x:v>60</x:v>
      </x:c>
      <x:c r="R103" s="6" t="str">
        <x:v>Planificada</x:v>
      </x:c>
    </x:row>
    <x:row r="104" ht="82" customHeight="1">
      <x:c r="A104" s="7" t="str">
        <x:v>Validar productos desde Admin</x:v>
      </x:c>
      <x:c r="B104" s="7" t="str">
        <x:v>Objetivo: Revisar creación, edición, desactivación y filtros después del cambio de API.
Entrega verificable: Correcciones de producto y mensajes de error.
Aceptación: Las cuatro acciones actualizan la tabla sin recarga manual.
Prioridad MoSCoW: Must. Dificultad: Media. Meta: Página Administración.
Hallazgo o necesidad: La página Admin necesita cierre funcional y validación de regresión.</x:v>
      </x:c>
      <x:c r="C104" s="6" t="str">
        <x:v>msanhueza2024</x:v>
      </x:c>
      <x:c r="D104" s="6" t="str">
        <x:v>Medio</x:v>
      </x:c>
      <x:c r="E104" s="6" t="str">
        <x:v>Sprint 2</x:v>
      </x:c>
      <x:c r="F104" s="6" t="str">
        <x:v>Semana 8</x:v>
      </x:c>
      <x:c r="G104" s="6" t="str">
        <x:v>Frontend</x:v>
      </x:c>
      <x:c r="H104" s="6" t="str">
        <x:v>1h</x:v>
      </x:c>
      <x:c r="I104" s="6" t="str">
        <x:v>S2-103</x:v>
      </x:c>
      <x:c r="J104" s="6" t="str">
        <x:v>Martín</x:v>
      </x:c>
      <x:c r="K104" s="6" t="str">
        <x:v>G1: Página Administración</x:v>
      </x:c>
      <x:c r="L104" s="6" t="str">
        <x:v>Must</x:v>
      </x:c>
      <x:c r="M104" s="6" t="str">
        <x:v>Media</x:v>
      </x:c>
      <x:c r="N104" s="7" t="str">
        <x:v>Correcciones de producto y mensajes de error.</x:v>
      </x:c>
      <x:c r="O104" s="7" t="str">
        <x:v>Las cuatro acciones actualizan la tabla sin recarga manual.</x:v>
      </x:c>
      <x:c r="P104" s="7" t="str">
        <x:v>La página Admin necesita cierre funcional y validación de regresión.</x:v>
      </x:c>
      <x:c r="Q104" s="8" t="n">
        <x:v>60</x:v>
      </x:c>
      <x:c r="R104" s="6" t="str">
        <x:v>Planificada</x:v>
      </x:c>
    </x:row>
    <x:row r="105" ht="82" customHeight="1">
      <x:c r="A105" s="7" t="str">
        <x:v>Verificar accesibilidad y guía visual</x:v>
      </x:c>
      <x:c r="B105" s="7" t="str">
        <x:v>Objetivo: Aplicar tokens aprobados, etiquetas y foco de teclado en formularios administrativos.
Entrega verificable: Ajustes de UI sin rehacer el diseño.
Aceptación: Modal, errores y botones son utilizables por teclado.
Prioridad MoSCoW: Should. Dificultad: Media. Meta: Página Administración.
Hallazgo o necesidad: La página Admin necesita cierre funcional y validación de regresión.</x:v>
      </x:c>
      <x:c r="C105" s="6" t="str">
        <x:v>msanhueza2024</x:v>
      </x:c>
      <x:c r="D105" s="6" t="str">
        <x:v>Medio</x:v>
      </x:c>
      <x:c r="E105" s="6" t="str">
        <x:v>Sprint 2</x:v>
      </x:c>
      <x:c r="F105" s="6" t="str">
        <x:v>Semana 8</x:v>
      </x:c>
      <x:c r="G105" s="6" t="str">
        <x:v>Frontend</x:v>
      </x:c>
      <x:c r="H105" s="6" t="str">
        <x:v>1h</x:v>
      </x:c>
      <x:c r="I105" s="6" t="str">
        <x:v>S2-104</x:v>
      </x:c>
      <x:c r="J105" s="6" t="str">
        <x:v>Martín</x:v>
      </x:c>
      <x:c r="K105" s="6" t="str">
        <x:v>G1: Página Administración</x:v>
      </x:c>
      <x:c r="L105" s="6" t="str">
        <x:v>Should</x:v>
      </x:c>
      <x:c r="M105" s="6" t="str">
        <x:v>Media</x:v>
      </x:c>
      <x:c r="N105" s="7" t="str">
        <x:v>Ajustes de UI sin rehacer el diseño.</x:v>
      </x:c>
      <x:c r="O105" s="7" t="str">
        <x:v>Modal, errores y botones son utilizables por teclado.</x:v>
      </x:c>
      <x:c r="P105" s="7" t="str">
        <x:v>La página Admin necesita cierre funcional y validación de regresión.</x:v>
      </x:c>
      <x:c r="Q105" s="8" t="n">
        <x:v>60</x:v>
      </x:c>
      <x:c r="R105" s="6" t="str">
        <x:v>Planificada</x:v>
      </x:c>
    </x:row>
    <x:row r="106" ht="82" customHeight="1">
      <x:c r="A106" s="7" t="str">
        <x:v>Cerrar regresión de Administración</x:v>
      </x:c>
      <x:c r="B106" s="7" t="str">
        <x:v>Objetivo: Ejecutar altas, cambios, bajas y configuración del tenant con dos roles y dos tenants.
Entrega verificable: Evidencia de pruebas de Admin y lista de defectos cerrados.
Aceptación: No queda error TypeScript ni llamada a endpoint inexistente.
Prioridad MoSCoW: Must. Dificultad: Alta. Meta: Página Administración.
Hallazgo o necesidad: La página Admin necesita cierre funcional y validación de regresión.</x:v>
      </x:c>
      <x:c r="C106" s="6" t="str">
        <x:v>msanhueza2024</x:v>
      </x:c>
      <x:c r="D106" s="6" t="str">
        <x:v>Alta</x:v>
      </x:c>
      <x:c r="E106" s="6" t="str">
        <x:v>Sprint 2</x:v>
      </x:c>
      <x:c r="F106" s="6" t="str">
        <x:v>Semana 8</x:v>
      </x:c>
      <x:c r="G106" s="6" t="str">
        <x:v>Frontend</x:v>
      </x:c>
      <x:c r="H106" s="6" t="str">
        <x:v>1h30m</x:v>
      </x:c>
      <x:c r="I106" s="6" t="str">
        <x:v>S2-105</x:v>
      </x:c>
      <x:c r="J106" s="6" t="str">
        <x:v>Martín</x:v>
      </x:c>
      <x:c r="K106" s="6" t="str">
        <x:v>G1: Página Administración</x:v>
      </x:c>
      <x:c r="L106" s="6" t="str">
        <x:v>Must</x:v>
      </x:c>
      <x:c r="M106" s="6" t="str">
        <x:v>Alta</x:v>
      </x:c>
      <x:c r="N106" s="7" t="str">
        <x:v>Evidencia de pruebas de Admin y lista de defectos cerrados.</x:v>
      </x:c>
      <x:c r="O106" s="7" t="str">
        <x:v>No queda error TypeScript ni llamada a endpoint inexistente.</x:v>
      </x:c>
      <x:c r="P106" s="7" t="str">
        <x:v>La página Admin necesita cierre funcional y validación de regresión.</x:v>
      </x:c>
      <x:c r="Q106" s="8" t="n">
        <x:v>90</x:v>
      </x:c>
      <x:c r="R106" s="6" t="str">
        <x:v>Planificada</x:v>
      </x:c>
    </x:row>
    <x:row r="107" ht="82" customHeight="1">
      <x:c r="A107" s="7" t="str">
        <x:v>Diseñar pantalla de terminal POS</x:v>
      </x:c>
      <x:c r="B107" s="7" t="str">
        <x:v>Objetivo: Mostrar monto desde MS-5, estado de conexión, lectura, autorización, rechazo y cancelación sin pedir número de tarjeta.
Entrega verificable: Panel de cobro por terminal con estados claros.
Aceptación: El cajero identifica el resultado y la referencia opaca del intento.
Prioridad MoSCoW: Must. Dificultad: Baja. Meta: Terminal POS con simulador.
Hallazgo o necesidad: POS debe integrar el terminal de pago simulado sin duplicar cargos.</x:v>
      </x:c>
      <x:c r="C107" s="6" t="str">
        <x:v>admin</x:v>
      </x:c>
      <x:c r="D107" s="6" t="str">
        <x:v>Facil</x:v>
      </x:c>
      <x:c r="E107" s="6" t="str">
        <x:v>Sprint 2</x:v>
      </x:c>
      <x:c r="F107" s="6" t="str">
        <x:v>Semana 8</x:v>
      </x:c>
      <x:c r="G107" s="6" t="str">
        <x:v>Frontend</x:v>
      </x:c>
      <x:c r="H107" s="6" t="str">
        <x:v>30m</x:v>
      </x:c>
      <x:c r="I107" s="6" t="str">
        <x:v>S2-106</x:v>
      </x:c>
      <x:c r="J107" s="6" t="str">
        <x:v>Rodrigo</x:v>
      </x:c>
      <x:c r="K107" s="6" t="str">
        <x:v>G5: Terminal POS con simulador</x:v>
      </x:c>
      <x:c r="L107" s="6" t="str">
        <x:v>Must</x:v>
      </x:c>
      <x:c r="M107" s="6" t="str">
        <x:v>Baja</x:v>
      </x:c>
      <x:c r="N107" s="7" t="str">
        <x:v>Panel de cobro por terminal con estados claros.</x:v>
      </x:c>
      <x:c r="O107" s="7" t="str">
        <x:v>El cajero identifica el resultado y la referencia opaca del intento.</x:v>
      </x:c>
      <x:c r="P107" s="7" t="str">
        <x:v>POS debe integrar el terminal de pago simulado sin duplicar cargos.</x:v>
      </x:c>
      <x:c r="Q107" s="8" t="n">
        <x:v>30</x:v>
      </x:c>
      <x:c r="R107" s="6" t="str">
        <x:v>Planificada</x:v>
      </x:c>
    </x:row>
    <x:row r="108" ht="82" customHeight="1">
      <x:c r="A108" s="7" t="str">
        <x:v>Conectar terminal simulado al cobro</x:v>
      </x:c>
      <x:c r="B108" s="7" t="str">
        <x:v>Objetivo: Iniciar terminal por preload y enviar la misma clave de idempotencia a MS-5 para autorizar por pasarela simulada.
Entrega verificable: Flujo de tarjeta mediante TerminalPort y cobrar-tarjeta.
Aceptación: Solo la autorización confirmada por MS-5 marca venta COMPLETADA.
Prioridad MoSCoW: Must. Dificultad: Media. Meta: Terminal POS con simulador.
Hallazgo o necesidad: POS debe integrar el terminal de pago simulado sin duplicar cargos.</x:v>
      </x:c>
      <x:c r="C108" s="6" t="str">
        <x:v>admin</x:v>
      </x:c>
      <x:c r="D108" s="6" t="str">
        <x:v>Medio</x:v>
      </x:c>
      <x:c r="E108" s="6" t="str">
        <x:v>Sprint 2</x:v>
      </x:c>
      <x:c r="F108" s="6" t="str">
        <x:v>Semana 8</x:v>
      </x:c>
      <x:c r="G108" s="6" t="str">
        <x:v>Frontend</x:v>
      </x:c>
      <x:c r="H108" s="6" t="str">
        <x:v>1h</x:v>
      </x:c>
      <x:c r="I108" s="6" t="str">
        <x:v>S2-107</x:v>
      </x:c>
      <x:c r="J108" s="6" t="str">
        <x:v>Rodrigo</x:v>
      </x:c>
      <x:c r="K108" s="6" t="str">
        <x:v>G5: Terminal POS con simulador</x:v>
      </x:c>
      <x:c r="L108" s="6" t="str">
        <x:v>Must</x:v>
      </x:c>
      <x:c r="M108" s="6" t="str">
        <x:v>Media</x:v>
      </x:c>
      <x:c r="N108" s="7" t="str">
        <x:v>Flujo de tarjeta mediante TerminalPort y cobrar-tarjeta.</x:v>
      </x:c>
      <x:c r="O108" s="7" t="str">
        <x:v>Solo la autorización confirmada por MS-5 marca venta COMPLETADA.</x:v>
      </x:c>
      <x:c r="P108" s="7" t="str">
        <x:v>POS debe integrar el terminal de pago simulado sin duplicar cargos.</x:v>
      </x:c>
      <x:c r="Q108" s="8" t="n">
        <x:v>60</x:v>
      </x:c>
      <x:c r="R108" s="6" t="str">
        <x:v>Planificada</x:v>
      </x:c>
    </x:row>
    <x:row r="109" ht="82" customHeight="1">
      <x:c r="A109" s="7" t="str">
        <x:v>Mostrar comprobante de pago seguro</x:v>
      </x:c>
      <x:c r="B109" s="7" t="str">
        <x:v>Objetivo: Tomar monto, método y referencia opaca de VentaResponse; no imprimir PAN ni inventar folio DTE.
Entrega verificable: Vista de comprobante rotulada como simulada.
Aceptación: Los montos coinciden con GET /ventas/{id} y no contienen datos sensibles.
Prioridad MoSCoW: Must. Dificultad: Media. Meta: Terminal POS con simulador.
Hallazgo o necesidad: POS debe integrar el terminal de pago simulado sin duplicar cargos.</x:v>
      </x:c>
      <x:c r="C109" s="6" t="str">
        <x:v>admin</x:v>
      </x:c>
      <x:c r="D109" s="6" t="str">
        <x:v>Medio</x:v>
      </x:c>
      <x:c r="E109" s="6" t="str">
        <x:v>Sprint 2</x:v>
      </x:c>
      <x:c r="F109" s="6" t="str">
        <x:v>Semana 8</x:v>
      </x:c>
      <x:c r="G109" s="6" t="str">
        <x:v>Frontend</x:v>
      </x:c>
      <x:c r="H109" s="6" t="str">
        <x:v>1h</x:v>
      </x:c>
      <x:c r="I109" s="6" t="str">
        <x:v>S2-108</x:v>
      </x:c>
      <x:c r="J109" s="6" t="str">
        <x:v>Rodrigo</x:v>
      </x:c>
      <x:c r="K109" s="6" t="str">
        <x:v>G5: Terminal POS con simulador</x:v>
      </x:c>
      <x:c r="L109" s="6" t="str">
        <x:v>Must</x:v>
      </x:c>
      <x:c r="M109" s="6" t="str">
        <x:v>Media</x:v>
      </x:c>
      <x:c r="N109" s="7" t="str">
        <x:v>Vista de comprobante rotulada como simulada.</x:v>
      </x:c>
      <x:c r="O109" s="7" t="str">
        <x:v>Los montos coinciden con GET /ventas/{id} y no contienen datos sensibles.</x:v>
      </x:c>
      <x:c r="P109" s="7" t="str">
        <x:v>POS debe integrar el terminal de pago simulado sin duplicar cargos.</x:v>
      </x:c>
      <x:c r="Q109" s="8" t="n">
        <x:v>60</x:v>
      </x:c>
      <x:c r="R109" s="6" t="str">
        <x:v>Planificada</x:v>
      </x:c>
    </x:row>
    <x:row r="110" ht="82" customHeight="1">
      <x:c r="A110" s="7" t="str">
        <x:v>Resolver errores y recarga POS</x:v>
      </x:c>
      <x:c r="B110" s="7" t="str">
        <x:v>Objetivo: Consultar estado de intento tras timeout o reinicio y permitir cancelar o continuar sin reautorizar a ciegas.
Entrega verificable: Estados de recuperación para carrito y terminal.
Aceptación: Una recarga no duplica cargo ni pierde el identificador de venta.
Prioridad MoSCoW: Must. Dificultad: Media. Meta: Terminal POS con simulador.
Hallazgo o necesidad: POS debe integrar el terminal de pago simulado sin duplicar cargos.</x:v>
      </x:c>
      <x:c r="C110" s="6" t="str">
        <x:v>admin</x:v>
      </x:c>
      <x:c r="D110" s="6" t="str">
        <x:v>Medio</x:v>
      </x:c>
      <x:c r="E110" s="6" t="str">
        <x:v>Sprint 2</x:v>
      </x:c>
      <x:c r="F110" s="6" t="str">
        <x:v>Semana 8</x:v>
      </x:c>
      <x:c r="G110" s="6" t="str">
        <x:v>Frontend</x:v>
      </x:c>
      <x:c r="H110" s="6" t="str">
        <x:v>1h</x:v>
      </x:c>
      <x:c r="I110" s="6" t="str">
        <x:v>S2-109</x:v>
      </x:c>
      <x:c r="J110" s="6" t="str">
        <x:v>Rodrigo</x:v>
      </x:c>
      <x:c r="K110" s="6" t="str">
        <x:v>G5: Terminal POS con simulador</x:v>
      </x:c>
      <x:c r="L110" s="6" t="str">
        <x:v>Must</x:v>
      </x:c>
      <x:c r="M110" s="6" t="str">
        <x:v>Media</x:v>
      </x:c>
      <x:c r="N110" s="7" t="str">
        <x:v>Estados de recuperación para carrito y terminal.</x:v>
      </x:c>
      <x:c r="O110" s="7" t="str">
        <x:v>Una recarga no duplica cargo ni pierde el identificador de venta.</x:v>
      </x:c>
      <x:c r="P110" s="7" t="str">
        <x:v>POS debe integrar el terminal de pago simulado sin duplicar cargos.</x:v>
      </x:c>
      <x:c r="Q110" s="8" t="n">
        <x:v>60</x:v>
      </x:c>
      <x:c r="R110" s="6" t="str">
        <x:v>Planificada</x:v>
      </x:c>
    </x:row>
    <x:row r="111" ht="82" customHeight="1">
      <x:c r="A111" s="7" t="str">
        <x:v>Ejecutar demo completa de mostrador</x:v>
      </x:c>
      <x:c r="B111" s="7" t="str">
        <x:v>Objetivo: Demostrar efectivo, tarjeta por terminal simulado, producto pesable y comprobante.
Entrega verificable: Guion de demo y evidencias de cada meta.
Aceptación: Las cinco metas se prueban con APIs y simuladores declarados, sin alertas placeholder.
Prioridad MoSCoW: Must. Dificultad: Alta. Meta: Terminal POS con simulador.
Hallazgo o necesidad: POS debe integrar el terminal de pago simulado sin duplicar cargos.</x:v>
      </x:c>
      <x:c r="C111" s="6" t="str">
        <x:v>admin</x:v>
      </x:c>
      <x:c r="D111" s="6" t="str">
        <x:v>Alta</x:v>
      </x:c>
      <x:c r="E111" s="6" t="str">
        <x:v>Sprint 2</x:v>
      </x:c>
      <x:c r="F111" s="6" t="str">
        <x:v>Semana 8</x:v>
      </x:c>
      <x:c r="G111" s="6" t="str">
        <x:v>Frontend</x:v>
      </x:c>
      <x:c r="H111" s="6" t="str">
        <x:v>1h30m</x:v>
      </x:c>
      <x:c r="I111" s="6" t="str">
        <x:v>S2-110</x:v>
      </x:c>
      <x:c r="J111" s="6" t="str">
        <x:v>Rodrigo</x:v>
      </x:c>
      <x:c r="K111" s="6" t="str">
        <x:v>G5: Terminal POS con simulador</x:v>
      </x:c>
      <x:c r="L111" s="6" t="str">
        <x:v>Must</x:v>
      </x:c>
      <x:c r="M111" s="6" t="str">
        <x:v>Alta</x:v>
      </x:c>
      <x:c r="N111" s="7" t="str">
        <x:v>Guion de demo y evidencias de cada meta.</x:v>
      </x:c>
      <x:c r="O111" s="7" t="str">
        <x:v>Las cinco metas se prueban con APIs y simuladores declarados, sin alertas placeholder.</x:v>
      </x:c>
      <x:c r="P111" s="7" t="str">
        <x:v>POS debe integrar el terminal de pago simulado sin duplicar cargos.</x:v>
      </x:c>
      <x:c r="Q111" s="8" t="n">
        <x:v>90</x:v>
      </x:c>
      <x:c r="R111" s="6" t="str">
        <x:v>Planificada</x:v>
      </x:c>
    </x:row>
    <x:row r="112" ht="82" customHeight="1">
      <x:c r="A112" s="7" t="str">
        <x:v>Congelar criterios de salida del sprint</x:v>
      </x:c>
      <x:c r="B112" s="7" t="str">
        <x:v>Objetivo: Revisar que cada Must tenga prueba y que las metas físicas estén identificadas como condicionadas.
Entrega verificable: Checklist de aceptación trazable a tareas.
Aceptación: No se marca completa una meta sin evidencia del escenario exigido.
Prioridad MoSCoW: Must. Dificultad: Baja. Meta: Salud técnica del sprint.
Hallazgo o necesidad: No existe un gate E2E y la cobertura de los flujos críticos no está demostrada.</x:v>
      </x:c>
      <x:c r="C112" s="6" t="str">
        <x:v>dprado2024</x:v>
      </x:c>
      <x:c r="D112" s="6" t="str">
        <x:v>Facil</x:v>
      </x:c>
      <x:c r="E112" s="6" t="str">
        <x:v>Sprint 2</x:v>
      </x:c>
      <x:c r="F112" s="6" t="str">
        <x:v>Semana 8</x:v>
      </x:c>
      <x:c r="G112" s="6" t="str">
        <x:v>Testing</x:v>
      </x:c>
      <x:c r="H112" s="6" t="str">
        <x:v>30m</x:v>
      </x:c>
      <x:c r="I112" s="6" t="str">
        <x:v>S2-111</x:v>
      </x:c>
      <x:c r="J112" s="6" t="str">
        <x:v>Daniel</x:v>
      </x:c>
      <x:c r="K112" s="6" t="str">
        <x:v>H: Salud técnica del sprint</x:v>
      </x:c>
      <x:c r="L112" s="6" t="str">
        <x:v>Must</x:v>
      </x:c>
      <x:c r="M112" s="6" t="str">
        <x:v>Baja</x:v>
      </x:c>
      <x:c r="N112" s="7" t="str">
        <x:v>Checklist de aceptación trazable a tareas.</x:v>
      </x:c>
      <x:c r="O112" s="7" t="str">
        <x:v>No se marca completa una meta sin evidencia del escenario exigido.</x:v>
      </x:c>
      <x:c r="P112" s="7" t="str">
        <x:v>No existe un gate E2E y la cobertura de los flujos críticos no está demostrada.</x:v>
      </x:c>
      <x:c r="Q112" s="8" t="n">
        <x:v>30</x:v>
      </x:c>
      <x:c r="R112" s="6" t="str">
        <x:v>Planificada</x:v>
      </x:c>
    </x:row>
    <x:row r="113" ht="82" customHeight="1">
      <x:c r="A113" s="7" t="str">
        <x:v>Ejecutar E2E de Admin y venta</x:v>
      </x:c>
      <x:c r="B113" s="7" t="str">
        <x:v>Objetivo: Validar usuario ADMIN, catálogo, turno, carrito, efectivo y cierre en entorno integrado.
Entrega verificable: Resultados E2E y capturas de fallos.
Aceptación: El camino principal termina sin error de API ni totales divergentes.
Prioridad MoSCoW: Must. Dificultad: Media. Meta: Salud técnica del sprint.
Hallazgo o necesidad: No existe un gate E2E y la cobertura de los flujos críticos no está demostrada.</x:v>
      </x:c>
      <x:c r="C113" s="6" t="str">
        <x:v>dprado2024</x:v>
      </x:c>
      <x:c r="D113" s="6" t="str">
        <x:v>Medio</x:v>
      </x:c>
      <x:c r="E113" s="6" t="str">
        <x:v>Sprint 2</x:v>
      </x:c>
      <x:c r="F113" s="6" t="str">
        <x:v>Semana 8</x:v>
      </x:c>
      <x:c r="G113" s="6" t="str">
        <x:v>Testing</x:v>
      </x:c>
      <x:c r="H113" s="6" t="str">
        <x:v>1h</x:v>
      </x:c>
      <x:c r="I113" s="6" t="str">
        <x:v>S2-112</x:v>
      </x:c>
      <x:c r="J113" s="6" t="str">
        <x:v>Daniel</x:v>
      </x:c>
      <x:c r="K113" s="6" t="str">
        <x:v>H: Salud técnica del sprint</x:v>
      </x:c>
      <x:c r="L113" s="6" t="str">
        <x:v>Must</x:v>
      </x:c>
      <x:c r="M113" s="6" t="str">
        <x:v>Media</x:v>
      </x:c>
      <x:c r="N113" s="7" t="str">
        <x:v>Resultados E2E y capturas de fallos.</x:v>
      </x:c>
      <x:c r="O113" s="7" t="str">
        <x:v>El camino principal termina sin error de API ni totales divergentes.</x:v>
      </x:c>
      <x:c r="P113" s="7" t="str">
        <x:v>No existe un gate E2E y la cobertura de los flujos críticos no está demostrada.</x:v>
      </x:c>
      <x:c r="Q113" s="8" t="n">
        <x:v>60</x:v>
      </x:c>
      <x:c r="R113" s="6" t="str">
        <x:v>Planificada</x:v>
      </x:c>
    </x:row>
    <x:row r="114" ht="82" customHeight="1">
      <x:c r="A114" s="7" t="str">
        <x:v>Ejecutar E2E de tarjeta y pesaje</x:v>
      </x:c>
      <x:c r="B114" s="7" t="str">
        <x:v>Objetivo: Validar aprobado, rechazado, timeout, peso simulado y entrada manual.
Entrega verificable: Resultados E2E de pasarela y balanza.
Aceptación: Una falla no completa la venta ni provoca doble cargo.
Prioridad MoSCoW: Must. Dificultad: Media. Meta: Salud técnica del sprint.
Hallazgo o necesidad: No existe un gate E2E y la cobertura de los flujos críticos no está demostrada.</x:v>
      </x:c>
      <x:c r="C114" s="6" t="str">
        <x:v>dprado2024</x:v>
      </x:c>
      <x:c r="D114" s="6" t="str">
        <x:v>Medio</x:v>
      </x:c>
      <x:c r="E114" s="6" t="str">
        <x:v>Sprint 2</x:v>
      </x:c>
      <x:c r="F114" s="6" t="str">
        <x:v>Semana 8</x:v>
      </x:c>
      <x:c r="G114" s="6" t="str">
        <x:v>Testing</x:v>
      </x:c>
      <x:c r="H114" s="6" t="str">
        <x:v>1h</x:v>
      </x:c>
      <x:c r="I114" s="6" t="str">
        <x:v>S2-113</x:v>
      </x:c>
      <x:c r="J114" s="6" t="str">
        <x:v>Daniel</x:v>
      </x:c>
      <x:c r="K114" s="6" t="str">
        <x:v>H: Salud técnica del sprint</x:v>
      </x:c>
      <x:c r="L114" s="6" t="str">
        <x:v>Must</x:v>
      </x:c>
      <x:c r="M114" s="6" t="str">
        <x:v>Media</x:v>
      </x:c>
      <x:c r="N114" s="7" t="str">
        <x:v>Resultados E2E de pasarela y balanza.</x:v>
      </x:c>
      <x:c r="O114" s="7" t="str">
        <x:v>Una falla no completa la venta ni provoca doble cargo.</x:v>
      </x:c>
      <x:c r="P114" s="7" t="str">
        <x:v>No existe un gate E2E y la cobertura de los flujos críticos no está demostrada.</x:v>
      </x:c>
      <x:c r="Q114" s="8" t="n">
        <x:v>60</x:v>
      </x:c>
      <x:c r="R114" s="6" t="str">
        <x:v>Planificada</x:v>
      </x:c>
    </x:row>
    <x:row r="115" ht="82" customHeight="1">
      <x:c r="A115" s="7" t="str">
        <x:v>Medir cobertura y compilar todo</x:v>
      </x:c>
      <x:c r="B115" s="7" t="str">
        <x:v>Objetivo: Ejecutar dotnet test, reporte de cobertura disponible, tsc y build Electron; registrar límites de entorno.
Entrega verificable: Reporte de ejecución con comandos y resultados.
Aceptación: No se atribuye 80% de cobertura si el reporte no lo prueba.
Prioridad MoSCoW: Must. Dificultad: Media. Meta: Salud técnica del sprint.
Hallazgo o necesidad: No existe un gate E2E y la cobertura de los flujos críticos no está demostrada.</x:v>
      </x:c>
      <x:c r="C115" s="6" t="str">
        <x:v>dprado2024</x:v>
      </x:c>
      <x:c r="D115" s="6" t="str">
        <x:v>Medio</x:v>
      </x:c>
      <x:c r="E115" s="6" t="str">
        <x:v>Sprint 2</x:v>
      </x:c>
      <x:c r="F115" s="6" t="str">
        <x:v>Semana 8</x:v>
      </x:c>
      <x:c r="G115" s="6" t="str">
        <x:v>Testing</x:v>
      </x:c>
      <x:c r="H115" s="6" t="str">
        <x:v>1h</x:v>
      </x:c>
      <x:c r="I115" s="6" t="str">
        <x:v>S2-114</x:v>
      </x:c>
      <x:c r="J115" s="6" t="str">
        <x:v>Daniel</x:v>
      </x:c>
      <x:c r="K115" s="6" t="str">
        <x:v>H: Salud técnica del sprint</x:v>
      </x:c>
      <x:c r="L115" s="6" t="str">
        <x:v>Must</x:v>
      </x:c>
      <x:c r="M115" s="6" t="str">
        <x:v>Media</x:v>
      </x:c>
      <x:c r="N115" s="7" t="str">
        <x:v>Reporte de ejecución con comandos y resultados.</x:v>
      </x:c>
      <x:c r="O115" s="7" t="str">
        <x:v>No se atribuye 80% de cobertura si el reporte no lo prueba.</x:v>
      </x:c>
      <x:c r="P115" s="7" t="str">
        <x:v>No existe un gate E2E y la cobertura de los flujos críticos no está demostrada.</x:v>
      </x:c>
      <x:c r="Q115" s="8" t="n">
        <x:v>60</x:v>
      </x:c>
      <x:c r="R115" s="6" t="str">
        <x:v>Planificada</x:v>
      </x:c>
    </x:row>
    <x:row r="116" ht="82" customHeight="1">
      <x:c r="A116" s="7" t="str">
        <x:v>Auditar aislamiento y recuperación final</x:v>
      </x:c>
      <x:c r="B116" s="7" t="str">
        <x:v>Objetivo: Repetir pruebas de dos tenants, outbox, consumidor y reinicio de POS después de las integraciones.
Entrega verificable: Informe de defectos abiertos y decisión Go/No Go.
Aceptación: Todo fallo Must queda registrado con dueño y no se oculta en el resumen.
Prioridad MoSCoW: Must. Dificultad: Alta. Meta: Salud técnica del sprint.
Hallazgo o necesidad: No existe un gate E2E y la cobertura de los flujos críticos no está demostrada.</x:v>
      </x:c>
      <x:c r="C116" s="6" t="str">
        <x:v>dprado2024</x:v>
      </x:c>
      <x:c r="D116" s="6" t="str">
        <x:v>Alta</x:v>
      </x:c>
      <x:c r="E116" s="6" t="str">
        <x:v>Sprint 2</x:v>
      </x:c>
      <x:c r="F116" s="6" t="str">
        <x:v>Semana 8</x:v>
      </x:c>
      <x:c r="G116" s="6" t="str">
        <x:v>Testing</x:v>
      </x:c>
      <x:c r="H116" s="6" t="str">
        <x:v>1h30m</x:v>
      </x:c>
      <x:c r="I116" s="6" t="str">
        <x:v>S2-115</x:v>
      </x:c>
      <x:c r="J116" s="6" t="str">
        <x:v>Daniel</x:v>
      </x:c>
      <x:c r="K116" s="6" t="str">
        <x:v>H: Salud técnica del sprint</x:v>
      </x:c>
      <x:c r="L116" s="6" t="str">
        <x:v>Must</x:v>
      </x:c>
      <x:c r="M116" s="6" t="str">
        <x:v>Alta</x:v>
      </x:c>
      <x:c r="N116" s="7" t="str">
        <x:v>Informe de defectos abiertos y decisión Go/No Go.</x:v>
      </x:c>
      <x:c r="O116" s="7" t="str">
        <x:v>Todo fallo Must queda registrado con dueño y no se oculta en el resumen.</x:v>
      </x:c>
      <x:c r="P116" s="7" t="str">
        <x:v>No existe un gate E2E y la cobertura de los flujos críticos no está demostrada.</x:v>
      </x:c>
      <x:c r="Q116" s="8" t="n">
        <x:v>90</x:v>
      </x:c>
      <x:c r="R116" s="6" t="str">
        <x:v>Planificada</x:v>
      </x:c>
    </x:row>
    <x:row r="117" ht="82" customHeight="1">
      <x:c r="A117" s="7" t="str">
        <x:v>Revisar Compose y gateway final</x:v>
      </x:c>
      <x:c r="B117" s="7" t="str">
        <x:v>Objetivo: Asegurar que el entorno documentado inicia simulador, dependencias y servicios necesarios del Sprint 2.
Entrega verificable: Composición y rutas finales verificadas.
Aceptación: Login, catálogo, POS y pasarela responden desde el entorno indicado.
Prioridad MoSCoW: Must. Dificultad: Baja. Meta: Salud técnica del sprint.
Hallazgo o necesidad: El DoD exige arranque, CI y documentación coherentes con el código.</x:v>
      </x:c>
      <x:c r="C117" s="6" t="str">
        <x:v>dleiva2024</x:v>
      </x:c>
      <x:c r="D117" s="6" t="str">
        <x:v>Facil</x:v>
      </x:c>
      <x:c r="E117" s="6" t="str">
        <x:v>Sprint 2</x:v>
      </x:c>
      <x:c r="F117" s="6" t="str">
        <x:v>Semana 8</x:v>
      </x:c>
      <x:c r="G117" s="6" t="str">
        <x:v>DevOps</x:v>
      </x:c>
      <x:c r="H117" s="6" t="str">
        <x:v>30m</x:v>
      </x:c>
      <x:c r="I117" s="6" t="str">
        <x:v>S2-116</x:v>
      </x:c>
      <x:c r="J117" s="6" t="str">
        <x:v>Diego</x:v>
      </x:c>
      <x:c r="K117" s="6" t="str">
        <x:v>H: Salud técnica del sprint</x:v>
      </x:c>
      <x:c r="L117" s="6" t="str">
        <x:v>Must</x:v>
      </x:c>
      <x:c r="M117" s="6" t="str">
        <x:v>Baja</x:v>
      </x:c>
      <x:c r="N117" s="7" t="str">
        <x:v>Composición y rutas finales verificadas.</x:v>
      </x:c>
      <x:c r="O117" s="7" t="str">
        <x:v>Login, catálogo, POS y pasarela responden desde el entorno indicado.</x:v>
      </x:c>
      <x:c r="P117" s="7" t="str">
        <x:v>El DoD exige arranque, CI y documentación coherentes con el código.</x:v>
      </x:c>
      <x:c r="Q117" s="8" t="n">
        <x:v>30</x:v>
      </x:c>
      <x:c r="R117" s="6" t="str">
        <x:v>Planificada</x:v>
      </x:c>
    </x:row>
    <x:row r="118" ht="82" customHeight="1">
      <x:c r="A118" s="7" t="str">
        <x:v>Integrar pruebas críticas en CI</x:v>
      </x:c>
      <x:c r="B118" s="7" t="str">
        <x:v>Objetivo: Ejecutar build .NET, tsc, pruebas unitarias e integración disponible con infraestructura.
Entrega verificable: Workflow con salida legible por etapa.
Aceptación: Un fallo de API, tipos o tests bloquea la ejecución exitosa.
Prioridad MoSCoW: Must. Dificultad: Media. Meta: Salud técnica del sprint.
Hallazgo o necesidad: El DoD exige arranque, CI y documentación coherentes con el código.</x:v>
      </x:c>
      <x:c r="C118" s="6" t="str">
        <x:v>dleiva2024</x:v>
      </x:c>
      <x:c r="D118" s="6" t="str">
        <x:v>Medio</x:v>
      </x:c>
      <x:c r="E118" s="6" t="str">
        <x:v>Sprint 2</x:v>
      </x:c>
      <x:c r="F118" s="6" t="str">
        <x:v>Semana 8</x:v>
      </x:c>
      <x:c r="G118" s="6" t="str">
        <x:v>DevOps</x:v>
      </x:c>
      <x:c r="H118" s="6" t="str">
        <x:v>1h</x:v>
      </x:c>
      <x:c r="I118" s="6" t="str">
        <x:v>S2-117</x:v>
      </x:c>
      <x:c r="J118" s="6" t="str">
        <x:v>Diego</x:v>
      </x:c>
      <x:c r="K118" s="6" t="str">
        <x:v>H: Salud técnica del sprint</x:v>
      </x:c>
      <x:c r="L118" s="6" t="str">
        <x:v>Must</x:v>
      </x:c>
      <x:c r="M118" s="6" t="str">
        <x:v>Media</x:v>
      </x:c>
      <x:c r="N118" s="7" t="str">
        <x:v>Workflow con salida legible por etapa.</x:v>
      </x:c>
      <x:c r="O118" s="7" t="str">
        <x:v>Un fallo de API, tipos o tests bloquea la ejecución exitosa.</x:v>
      </x:c>
      <x:c r="P118" s="7" t="str">
        <x:v>El DoD exige arranque, CI y documentación coherentes con el código.</x:v>
      </x:c>
      <x:c r="Q118" s="8" t="n">
        <x:v>60</x:v>
      </x:c>
      <x:c r="R118" s="6" t="str">
        <x:v>Planificada</x:v>
      </x:c>
    </x:row>
    <x:row r="119" ht="82" customHeight="1">
      <x:c r="A119" s="7" t="str">
        <x:v>Actualizar nodos de contexto afectados</x:v>
      </x:c>
      <x:c r="B119" s="7" t="str">
        <x:v>Objetivo: Ajustar solo MS-1 a MS-5, frontend, Kafka, infraestructura y estado actual según evidencia de implementación.
Entrega verificable: Grafo con ultima_revision y enlaces válidos.
Aceptación: No se marca IMPLEMENTADO ningún componente sin código o prueba.
Prioridad MoSCoW: Must. Dificultad: Media. Meta: Salud técnica del sprint.
Hallazgo o necesidad: El DoD exige arranque, CI y documentación coherentes con el código.</x:v>
      </x:c>
      <x:c r="C119" s="6" t="str">
        <x:v>dleiva2024</x:v>
      </x:c>
      <x:c r="D119" s="6" t="str">
        <x:v>Medio</x:v>
      </x:c>
      <x:c r="E119" s="6" t="str">
        <x:v>Sprint 2</x:v>
      </x:c>
      <x:c r="F119" s="6" t="str">
        <x:v>Semana 8</x:v>
      </x:c>
      <x:c r="G119" s="6" t="str">
        <x:v>DevOps</x:v>
      </x:c>
      <x:c r="H119" s="6" t="str">
        <x:v>1h</x:v>
      </x:c>
      <x:c r="I119" s="6" t="str">
        <x:v>S2-118</x:v>
      </x:c>
      <x:c r="J119" s="6" t="str">
        <x:v>Diego</x:v>
      </x:c>
      <x:c r="K119" s="6" t="str">
        <x:v>H: Salud técnica del sprint</x:v>
      </x:c>
      <x:c r="L119" s="6" t="str">
        <x:v>Must</x:v>
      </x:c>
      <x:c r="M119" s="6" t="str">
        <x:v>Media</x:v>
      </x:c>
      <x:c r="N119" s="7" t="str">
        <x:v>Grafo con ultima_revision y enlaces válidos.</x:v>
      </x:c>
      <x:c r="O119" s="7" t="str">
        <x:v>No se marca IMPLEMENTADO ningún componente sin código o prueba.</x:v>
      </x:c>
      <x:c r="P119" s="7" t="str">
        <x:v>El DoD exige arranque, CI y documentación coherentes con el código.</x:v>
      </x:c>
      <x:c r="Q119" s="8" t="n">
        <x:v>60</x:v>
      </x:c>
      <x:c r="R119" s="6" t="str">
        <x:v>Planificada</x:v>
      </x:c>
    </x:row>
    <x:row r="120" ht="82" customHeight="1">
      <x:c r="A120" s="7" t="str">
        <x:v>Publicar guía de demo y límites físicos</x:v>
      </x:c>
      <x:c r="B120" s="7" t="str">
        <x:v>Objetivo: Describir pasos de demo, comandos, configuración de simuladores y condición de balanza/terminal real.
Entrega verificable: Manual de ejecución Sprint 2.
Aceptación: Otra persona reproduce la demo sin dispositivos físicos.
Prioridad MoSCoW: Should. Dificultad: Media. Meta: Salud técnica del sprint.
Hallazgo o necesidad: El DoD exige arranque, CI y documentación coherentes con el código.</x:v>
      </x:c>
      <x:c r="C120" s="6" t="str">
        <x:v>dleiva2024</x:v>
      </x:c>
      <x:c r="D120" s="6" t="str">
        <x:v>Medio</x:v>
      </x:c>
      <x:c r="E120" s="6" t="str">
        <x:v>Sprint 2</x:v>
      </x:c>
      <x:c r="F120" s="6" t="str">
        <x:v>Semana 8</x:v>
      </x:c>
      <x:c r="G120" s="6" t="str">
        <x:v>DevOps</x:v>
      </x:c>
      <x:c r="H120" s="6" t="str">
        <x:v>1h</x:v>
      </x:c>
      <x:c r="I120" s="6" t="str">
        <x:v>S2-119</x:v>
      </x:c>
      <x:c r="J120" s="6" t="str">
        <x:v>Diego</x:v>
      </x:c>
      <x:c r="K120" s="6" t="str">
        <x:v>H: Salud técnica del sprint</x:v>
      </x:c>
      <x:c r="L120" s="6" t="str">
        <x:v>Should</x:v>
      </x:c>
      <x:c r="M120" s="6" t="str">
        <x:v>Media</x:v>
      </x:c>
      <x:c r="N120" s="7" t="str">
        <x:v>Manual de ejecución Sprint 2.</x:v>
      </x:c>
      <x:c r="O120" s="7" t="str">
        <x:v>Otra persona reproduce la demo sin dispositivos físicos.</x:v>
      </x:c>
      <x:c r="P120" s="7" t="str">
        <x:v>El DoD exige arranque, CI y documentación coherentes con el código.</x:v>
      </x:c>
      <x:c r="Q120" s="8" t="n">
        <x:v>60</x:v>
      </x:c>
      <x:c r="R120" s="6" t="str">
        <x:v>Planificada</x:v>
      </x:c>
    </x:row>
    <x:row r="121" ht="82" customHeight="1">
      <x:c r="A121" s="7" t="str">
        <x:v>Ejecutar revisión de release</x:v>
      </x:c>
      <x:c r="B121" s="7" t="str">
        <x:v>Objetivo: Comprobar build, pruebas, rutas, migraciones y ausencia de secretos antes del cierre.
Entrega verificable: Registro de release con riesgos y fallos remanentes.
Aceptación: El reporte distingue metas simuladas de integración física pendiente.
Prioridad MoSCoW: Must. Dificultad: Alta. Meta: Salud técnica del sprint.
Hallazgo o necesidad: El DoD exige arranque, CI y documentación coherentes con el código.</x:v>
      </x:c>
      <x:c r="C121" s="6" t="str">
        <x:v>dleiva2024</x:v>
      </x:c>
      <x:c r="D121" s="6" t="str">
        <x:v>Alta</x:v>
      </x:c>
      <x:c r="E121" s="6" t="str">
        <x:v>Sprint 2</x:v>
      </x:c>
      <x:c r="F121" s="6" t="str">
        <x:v>Semana 8</x:v>
      </x:c>
      <x:c r="G121" s="6" t="str">
        <x:v>DevOps</x:v>
      </x:c>
      <x:c r="H121" s="6" t="str">
        <x:v>1h30m</x:v>
      </x:c>
      <x:c r="I121" s="6" t="str">
        <x:v>S2-120</x:v>
      </x:c>
      <x:c r="J121" s="6" t="str">
        <x:v>Diego</x:v>
      </x:c>
      <x:c r="K121" s="6" t="str">
        <x:v>H: Salud técnica del sprint</x:v>
      </x:c>
      <x:c r="L121" s="6" t="str">
        <x:v>Must</x:v>
      </x:c>
      <x:c r="M121" s="6" t="str">
        <x:v>Alta</x:v>
      </x:c>
      <x:c r="N121" s="7" t="str">
        <x:v>Registro de release con riesgos y fallos remanentes.</x:v>
      </x:c>
      <x:c r="O121" s="7" t="str">
        <x:v>El reporte distingue metas simuladas de integración física pendiente.</x:v>
      </x:c>
      <x:c r="P121" s="7" t="str">
        <x:v>El DoD exige arranque, CI y documentación coherentes con el código.</x:v>
      </x:c>
      <x:c r="Q121" s="8" t="n">
        <x:v>90</x:v>
      </x:c>
      <x:c r="R121" s="6" t="str">
        <x:v>Planificada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398A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90" hidden="0" customWidth="1"/>
    <x:col min="3" max="3" width="20" hidden="0" customWidth="1"/>
    <x:col min="4" max="4" width="12" hidden="0" customWidth="1"/>
    <x:col min="5" max="5" width="12" hidden="0" customWidth="1"/>
    <x:col min="6" max="6" width="13" hidden="0" customWidth="1"/>
    <x:col min="7" max="7" width="18" hidden="0" customWidth="1"/>
    <x:col min="8" max="8" width="13" hidden="0" customWidth="1"/>
    <x:col min="9" max="9" width="13" hidden="0" customWidth="1"/>
  </x:cols>
  <x:sheetData>
    <x:row r="1" ht="29" customHeight="1">
      <x:c r="A1" s="4" t="str">
        <x:v>Summary</x:v>
      </x:c>
      <x:c r="B1" s="4" t="str">
        <x:v>Description</x:v>
      </x:c>
      <x:c r="C1" s="4" t="str">
        <x:v>Assignee</x:v>
      </x:c>
      <x:c r="D1" s="4" t="str">
        <x:v>Priority</x:v>
      </x:c>
      <x:c r="E1" s="4" t="str">
        <x:v>Sprints</x:v>
      </x:c>
      <x:c r="F1" s="4" t="str">
        <x:v>Semana</x:v>
      </x:c>
      <x:c r="G1" s="4" t="str">
        <x:v>AreaTrabajo</x:v>
      </x:c>
      <x:c r="H1" s="4" t="str">
        <x:v>Tags</x:v>
      </x:c>
      <x:c r="I1" s="4" t="str">
        <x:v>Estimation</x:v>
      </x:c>
    </x:row>
    <x:row r="2" ht="65" customHeight="1">
      <x:c r="A2" s="7" t="str">
        <x:v>Fijar contrato de creación de venta</x:v>
      </x:c>
      <x:c r="B2" s="7" t="str">
        <x:v>Objetivo: Definir qué campos acepta el cliente y cuáles calcula MS-5: producto, cantidad, precio, IVA y sucursal.
Entrega verificable: Contrato de request y respuesta revisado con ejemplos de venta unitaria y a peso.
Aceptación: Ningún precio o impuesto aportado por el renderer se considera autoridad.
Prioridad MoSCoW: Must. Dificultad: Baja. Meta: Carrito y venta funcional.
Hallazgo o necesidad: La creación de venta acepta precios del request y usa IVA inicial cero.</x:v>
      </x:c>
      <x:c r="C2" s="6" t="str">
        <x:v>spereda2024</x:v>
      </x:c>
      <x:c r="D2" s="6" t="str">
        <x:v>Facil</x:v>
      </x:c>
      <x:c r="E2" s="6" t="str">
        <x:v>Sprint 2</x:v>
      </x:c>
      <x:c r="F2" s="6" t="str">
        <x:v>Semana 5</x:v>
      </x:c>
      <x:c r="G2" s="6" t="str">
        <x:v>Backend</x:v>
      </x:c>
      <x:c r="H2" s="6" t="str">
        <x:v>Semana 5</x:v>
      </x:c>
      <x:c r="I2" s="6" t="str">
        <x:v>30m</x:v>
      </x:c>
    </x:row>
    <x:row r="3" ht="65" customHeight="1">
      <x:c r="A3" s="7" t="str">
        <x:v>Resolver productos desde MS-3 al crear venta</x:v>
      </x:c>
      <x:c r="B3" s="7" t="str">
        <x:v>Objetivo: Consultar catálogo para cada producto recibido y rechazar productos inexistentes, inactivos o ajenos al tenant.
Entrega verificable: Crear venta usando precio y nombre devueltos por MS-3.
Aceptación: Un producto inválido produce error sin persistir venta ni ítems.
Prioridad MoSCoW: Must. Dificultad: Media. Meta: Carrito y venta funcional.
Hallazgo o necesidad: La creación de venta acepta precios del request y usa IVA inicial cero.</x:v>
      </x:c>
      <x:c r="C3" s="6" t="str">
        <x:v>spereda2024</x:v>
      </x:c>
      <x:c r="D3" s="6" t="str">
        <x:v>Medio</x:v>
      </x:c>
      <x:c r="E3" s="6" t="str">
        <x:v>Sprint 2</x:v>
      </x:c>
      <x:c r="F3" s="6" t="str">
        <x:v>Semana 5</x:v>
      </x:c>
      <x:c r="G3" s="6" t="str">
        <x:v>Backend</x:v>
      </x:c>
      <x:c r="H3" s="6" t="str">
        <x:v>Semana 5</x:v>
      </x:c>
      <x:c r="I3" s="6" t="str">
        <x:v>1h</x:v>
      </x:c>
    </x:row>
    <x:row r="4" ht="65" customHeight="1">
      <x:c r="A4" s="7" t="str">
        <x:v>Calcular IVA real en la creación</x:v>
      </x:c>
      <x:c r="B4" s="7" t="str">
        <x:v>Objetivo: Enviar todos los ítems a MS-2 y usar la tasa configurada para el tenant antes de guardar la venta.
Entrega verificable: Subtotal, impuestos y total persistidos desde el cálculo del servidor.
Aceptación: La primera venta con un ítem muestra IVA correcto sin requerir una edición posterior.
Prioridad MoSCoW: Must. Dificultad: Media. Meta: Carrito y venta funcional.
Hallazgo o necesidad: La creación de venta acepta precios del request y usa IVA inicial cero.</x:v>
      </x:c>
      <x:c r="C4" s="6" t="str">
        <x:v>spereda2024</x:v>
      </x:c>
      <x:c r="D4" s="6" t="str">
        <x:v>Medio</x:v>
      </x:c>
      <x:c r="E4" s="6" t="str">
        <x:v>Sprint 2</x:v>
      </x:c>
      <x:c r="F4" s="6" t="str">
        <x:v>Semana 5</x:v>
      </x:c>
      <x:c r="G4" s="6" t="str">
        <x:v>Backend</x:v>
      </x:c>
      <x:c r="H4" s="6" t="str">
        <x:v>Semana 5</x:v>
      </x:c>
      <x:c r="I4" s="6" t="str">
        <x:v>1h</x:v>
      </x:c>
    </x:row>
    <x:row r="5" ht="65" customHeight="1">
      <x:c r="A5" s="7" t="str">
        <x:v>Restringir método de cobro efectivo</x:v>
      </x:c>
      <x:c r="B5" s="7" t="str">
        <x:v>Objetivo: Separar la elección de método de pago de la confirmación del cobro y bloquear tarjeta o mixto en el endpoint de efectivo.
Entrega verificable: Validaciones del controller y respuesta de error específica.
Aceptación: No puede quedar un Pago EFECTIVO para una venta confirmada como TARJETA.
Prioridad MoSCoW: Must. Dificultad: Media. Meta: Carrito y venta funcional.
Hallazgo o necesidad: La creación de venta acepta precios del request y usa IVA inicial cero.</x:v>
      </x:c>
      <x:c r="C5" s="6" t="str">
        <x:v>spereda2024</x:v>
      </x:c>
      <x:c r="D5" s="6" t="str">
        <x:v>Medio</x:v>
      </x:c>
      <x:c r="E5" s="6" t="str">
        <x:v>Sprint 2</x:v>
      </x:c>
      <x:c r="F5" s="6" t="str">
        <x:v>Semana 5</x:v>
      </x:c>
      <x:c r="G5" s="6" t="str">
        <x:v>Backend</x:v>
      </x:c>
      <x:c r="H5" s="6" t="str">
        <x:v>Semana 5</x:v>
      </x:c>
      <x:c r="I5" s="6" t="str">
        <x:v>1h</x:v>
      </x:c>
    </x:row>
    <x:row r="6" ht="65" customHeight="1">
      <x:c r="A6" s="7" t="str">
        <x:v>Probar creación segura y turno abierto</x:v>
      </x:c>
      <x:c r="B6" s="7" t="str">
        <x:v>Objetivo: Cubrir precios falsificados, IVA por tenant, producto inactivo y ausencia de turno abierto mediante HTTP de MS-5.
Entrega verificable: Pruebas de integración reproducibles con dependencias simuladas.
Aceptación: Los cuatro casos fallan o pasan con códigos HTTP y persistencia esperados.
Prioridad MoSCoW: Must. Dificultad: Alta. Meta: Carrito y venta funcional.
Hallazgo o necesidad: La creación de venta acepta precios del request y usa IVA inicial cero.</x:v>
      </x:c>
      <x:c r="C6" s="6" t="str">
        <x:v>spereda2024</x:v>
      </x:c>
      <x:c r="D6" s="6" t="str">
        <x:v>Alta</x:v>
      </x:c>
      <x:c r="E6" s="6" t="str">
        <x:v>Sprint 2</x:v>
      </x:c>
      <x:c r="F6" s="6" t="str">
        <x:v>Semana 5</x:v>
      </x:c>
      <x:c r="G6" s="6" t="str">
        <x:v>Backend</x:v>
      </x:c>
      <x:c r="H6" s="6" t="str">
        <x:v>Semana 5</x:v>
      </x:c>
      <x:c r="I6" s="6" t="str">
        <x:v>1h30m</x:v>
      </x:c>
    </x:row>
    <x:row r="7" ht="65" customHeight="1">
      <x:c r="A7" s="7" t="str">
        <x:v>Definir contrato de evento y reintento</x:v>
      </x:c>
      <x:c r="B7" s="7" t="str">
        <x:v>Objetivo: Precisar EventId estable, versión del payload y estados de publicación para sale.completed.
Entrega verificable: Diseño de outbox y política de reintentos documentados.
Aceptación: El mismo evento conserva EventId en todos sus intentos.
Prioridad MoSCoW: Must. Dificultad: Baja. Meta: Carrito y venta funcional.
Hallazgo o necesidad: La publicación Kafka posterior al commit puede perder ventas.</x:v>
      </x:c>
      <x:c r="C7" s="6" t="str">
        <x:v>nmartinez2024</x:v>
      </x:c>
      <x:c r="D7" s="6" t="str">
        <x:v>Facil</x:v>
      </x:c>
      <x:c r="E7" s="6" t="str">
        <x:v>Sprint 2</x:v>
      </x:c>
      <x:c r="F7" s="6" t="str">
        <x:v>Semana 5</x:v>
      </x:c>
      <x:c r="G7" s="6" t="str">
        <x:v>Backend</x:v>
      </x:c>
      <x:c r="H7" s="6" t="str">
        <x:v>Semana 5</x:v>
      </x:c>
      <x:c r="I7" s="6" t="str">
        <x:v>30m</x:v>
      </x:c>
    </x:row>
    <x:row r="8" ht="65" customHeight="1">
      <x:c r="A8" s="7" t="str">
        <x:v>Crear migración de outbox en MS-5</x:v>
      </x:c>
      <x:c r="B8" s="7" t="str">
        <x:v>Objetivo: Agregar tabla de eventos pendientes con tenant, venta, payload y estado sin compartir base de datos entre servicios.
Entrega verificable: Migración EF Core y entidad de outbox.
Aceptación: La migración se aplica y permite consultar pendientes por estado.
Prioridad MoSCoW: Must. Dificultad: Media. Meta: Carrito y venta funcional.
Hallazgo o necesidad: La publicación Kafka posterior al commit puede perder ventas.</x:v>
      </x:c>
      <x:c r="C8" s="6" t="str">
        <x:v>nmartinez2024</x:v>
      </x:c>
      <x:c r="D8" s="6" t="str">
        <x:v>Medio</x:v>
      </x:c>
      <x:c r="E8" s="6" t="str">
        <x:v>Sprint 2</x:v>
      </x:c>
      <x:c r="F8" s="6" t="str">
        <x:v>Semana 5</x:v>
      </x:c>
      <x:c r="G8" s="6" t="str">
        <x:v>Backend</x:v>
      </x:c>
      <x:c r="H8" s="6" t="str">
        <x:v>Semana 5</x:v>
      </x:c>
      <x:c r="I8" s="6" t="str">
        <x:v>1h</x:v>
      </x:c>
    </x:row>
    <x:row r="9" ht="65" customHeight="1">
      <x:c r="A9" s="7" t="str">
        <x:v>Persistir venta y evento en una transacción</x:v>
      </x:c>
      <x:c r="B9" s="7" t="str">
        <x:v>Objetivo: Guardar el evento de venta completada junto con Pago y estado COMPLETADA antes de responder.
Entrega verificable: Cambio en repositorio o servicio con transacción atómica.
Aceptación: No existe venta completada sin evento pendiente si falla la transacción.
Prioridad MoSCoW: Must. Dificultad: Media. Meta: Carrito y venta funcional.
Hallazgo o necesidad: La publicación Kafka posterior al commit puede perder ventas.</x:v>
      </x:c>
      <x:c r="C9" s="6" t="str">
        <x:v>nmartinez2024</x:v>
      </x:c>
      <x:c r="D9" s="6" t="str">
        <x:v>Medio</x:v>
      </x:c>
      <x:c r="E9" s="6" t="str">
        <x:v>Sprint 2</x:v>
      </x:c>
      <x:c r="F9" s="6" t="str">
        <x:v>Semana 5</x:v>
      </x:c>
      <x:c r="G9" s="6" t="str">
        <x:v>Backend</x:v>
      </x:c>
      <x:c r="H9" s="6" t="str">
        <x:v>Semana 5</x:v>
      </x:c>
      <x:c r="I9" s="6" t="str">
        <x:v>1h</x:v>
      </x:c>
    </x:row>
    <x:row r="10" ht="65" customHeight="1">
      <x:c r="A10" s="7" t="str">
        <x:v>Publicar pendientes con worker</x:v>
      </x:c>
      <x:c r="B10" s="7" t="str">
        <x:v>Objetivo: Enviar eventos de outbox a Kafka con reintento y marcado de enviado, evitando generar un GUID nuevo.
Entrega verificable: Servicio hospedado con logging estructurado y cancelación limpia.
Aceptación: Un fallo temporal deja el evento pendiente para el siguiente intento.
Prioridad MoSCoW: Must. Dificultad: Media. Meta: Carrito y venta funcional.
Hallazgo o necesidad: La publicación Kafka posterior al commit puede perder ventas.</x:v>
      </x:c>
      <x:c r="C10" s="6" t="str">
        <x:v>nmartinez2024</x:v>
      </x:c>
      <x:c r="D10" s="6" t="str">
        <x:v>Medio</x:v>
      </x:c>
      <x:c r="E10" s="6" t="str">
        <x:v>Sprint 2</x:v>
      </x:c>
      <x:c r="F10" s="6" t="str">
        <x:v>Semana 5</x:v>
      </x:c>
      <x:c r="G10" s="6" t="str">
        <x:v>Backend</x:v>
      </x:c>
      <x:c r="H10" s="6" t="str">
        <x:v>Semana 5</x:v>
      </x:c>
      <x:c r="I10" s="6" t="str">
        <x:v>1h</x:v>
      </x:c>
    </x:row>
    <x:row r="11" ht="65" customHeight="1">
      <x:c r="A11" s="7" t="str">
        <x:v>Probar caída y recuperación del broker</x:v>
      </x:c>
      <x:c r="B11" s="7" t="str">
        <x:v>Objetivo: Simular indisponibilidad de Kafka al cobrar y recuperación posterior sin duplicar venta ni evento lógico.
Entrega verificable: Pruebas de integración del outbox y del payload publicado.
Aceptación: La venta se conserva y el evento se entrega una vez lógicamente al recuperar Kafka.
Prioridad MoSCoW: Must. Dificultad: Alta. Meta: Carrito y venta funcional.
Hallazgo o necesidad: La publicación Kafka posterior al commit puede perder ventas.</x:v>
      </x:c>
      <x:c r="C11" s="6" t="str">
        <x:v>nmartinez2024</x:v>
      </x:c>
      <x:c r="D11" s="6" t="str">
        <x:v>Alta</x:v>
      </x:c>
      <x:c r="E11" s="6" t="str">
        <x:v>Sprint 2</x:v>
      </x:c>
      <x:c r="F11" s="6" t="str">
        <x:v>Semana 5</x:v>
      </x:c>
      <x:c r="G11" s="6" t="str">
        <x:v>Backend</x:v>
      </x:c>
      <x:c r="H11" s="6" t="str">
        <x:v>Semana 5</x:v>
      </x:c>
      <x:c r="I11" s="6" t="str">
        <x:v>1h30m</x:v>
      </x:c>
    </x:row>
    <x:row r="12" ht="65" customHeight="1">
      <x:c r="A12" s="7" t="str">
        <x:v>Elegir contrato de baja de producto</x:v>
      </x:c>
      <x:c r="B12" s="7" t="str">
        <x:v>Objetivo: Definir desactivación por IsActive y respuesta para ventas históricas, sin borrado físico del catálogo.
Entrega verificable: Contrato de DELETE /products/{id} y regla de autorización ADMIN.
Aceptación: El contrato preserva referencias de productos ya vendidos.
Prioridad MoSCoW: Must. Dificultad: Baja. Meta: Página Administración.
Hallazgo o necesidad: La UI invoca DELETE /products/{id} y la API no lo expone; TenantConfig falla TypeScript.</x:v>
      </x:c>
      <x:c r="C12" s="6" t="str">
        <x:v>msanhueza2024</x:v>
      </x:c>
      <x:c r="D12" s="6" t="str">
        <x:v>Facil</x:v>
      </x:c>
      <x:c r="E12" s="6" t="str">
        <x:v>Sprint 2</x:v>
      </x:c>
      <x:c r="F12" s="6" t="str">
        <x:v>Semana 5</x:v>
      </x:c>
      <x:c r="G12" s="6" t="str">
        <x:v>Backend</x:v>
      </x:c>
      <x:c r="H12" s="6" t="str">
        <x:v>Semana 5</x:v>
      </x:c>
      <x:c r="I12" s="6" t="str">
        <x:v>30m</x:v>
      </x:c>
    </x:row>
    <x:row r="13" ht="65" customHeight="1">
      <x:c r="A13" s="7" t="str">
        <x:v>Implementar desactivación en MS-3</x:v>
      </x:c>
      <x:c r="B13" s="7" t="str">
        <x:v>Objetivo: Exponer DELETE para desactivar producto del tenant autenticado, sin afectar otro tenant.
Entrega verificable: Controller y servicio con 204/404 y filtro de tenant.
Aceptación: La búsqueda POS no devuelve el producto desactivado.
Prioridad MoSCoW: Must. Dificultad: Media. Meta: Página Administración.
Hallazgo o necesidad: La UI invoca DELETE /products/{id} y la API no lo expone; TenantConfig falla TypeScript.</x:v>
      </x:c>
      <x:c r="C13" s="6" t="str">
        <x:v>msanhueza2024</x:v>
      </x:c>
      <x:c r="D13" s="6" t="str">
        <x:v>Medio</x:v>
      </x:c>
      <x:c r="E13" s="6" t="str">
        <x:v>Sprint 2</x:v>
      </x:c>
      <x:c r="F13" s="6" t="str">
        <x:v>Semana 5</x:v>
      </x:c>
      <x:c r="G13" s="6" t="str">
        <x:v>Backend</x:v>
      </x:c>
      <x:c r="H13" s="6" t="str">
        <x:v>Semana 5</x:v>
      </x:c>
      <x:c r="I13" s="6" t="str">
        <x:v>1h</x:v>
      </x:c>
    </x:row>
    <x:row r="14" ht="65" customHeight="1">
      <x:c r="A14" s="7" t="str">
        <x:v>Alinear acción de productos Admin</x:v>
      </x:c>
      <x:c r="B14" s="7" t="str">
        <x:v>Objetivo: Cambiar el texto y confirmación de eliminación permanente por desactivación y mostrar el estado resultante.
Entrega verificable: Pantalla de productos conectada al contrato nuevo.
Aceptación: La UI confirma desactivación y no promete borrar datos históricos.
Prioridad MoSCoW: Must. Dificultad: Media. Meta: Página Administración.
Hallazgo o necesidad: La UI invoca DELETE /products/{id} y la API no lo expone; TenantConfig falla TypeScript.</x:v>
      </x:c>
      <x:c r="C14" s="6" t="str">
        <x:v>msanhueza2024</x:v>
      </x:c>
      <x:c r="D14" s="6" t="str">
        <x:v>Medio</x:v>
      </x:c>
      <x:c r="E14" s="6" t="str">
        <x:v>Sprint 2</x:v>
      </x:c>
      <x:c r="F14" s="6" t="str">
        <x:v>Semana 5</x:v>
      </x:c>
      <x:c r="G14" s="6" t="str">
        <x:v>Backend</x:v>
      </x:c>
      <x:c r="H14" s="6" t="str">
        <x:v>Semana 5</x:v>
      </x:c>
      <x:c r="I14" s="6" t="str">
        <x:v>1h</x:v>
      </x:c>
    </x:row>
    <x:row r="15" ht="65" customHeight="1">
      <x:c r="A15" s="7" t="str">
        <x:v>Corregir tipos de TenantConfig</x:v>
      </x:c>
      <x:c r="B15" s="7" t="str">
        <x:v>Objetivo: Alinear z.coerce.number, react-hook-form y zodResolver con las versiones fijadas en package-lock.
Entrega verificable: Formulario compilable sin casts inseguros.
Aceptación: tsc --noEmit pasa para TenantConfig.
Prioridad MoSCoW: Must. Dificultad: Media. Meta: Página Administración.
Hallazgo o necesidad: La UI invoca DELETE /products/{id} y la API no lo expone; TenantConfig falla TypeScript.</x:v>
      </x:c>
      <x:c r="C15" s="6" t="str">
        <x:v>msanhueza2024</x:v>
      </x:c>
      <x:c r="D15" s="6" t="str">
        <x:v>Medio</x:v>
      </x:c>
      <x:c r="E15" s="6" t="str">
        <x:v>Sprint 2</x:v>
      </x:c>
      <x:c r="F15" s="6" t="str">
        <x:v>Semana 5</x:v>
      </x:c>
      <x:c r="G15" s="6" t="str">
        <x:v>Backend</x:v>
      </x:c>
      <x:c r="H15" s="6" t="str">
        <x:v>Semana 5</x:v>
      </x:c>
      <x:c r="I15" s="6" t="str">
        <x:v>1h</x:v>
      </x:c>
    </x:row>
    <x:row r="16" ht="65" customHeight="1">
      <x:c r="A16" s="7" t="str">
        <x:v>Probar baja y formulario por tenant</x:v>
      </x:c>
      <x:c r="B16" s="7" t="str">
        <x:v>Objetivo: Cubrir producto propio, producto ajeno, usuario no ADMIN y cambio de IVA en configuración.
Entrega verificable: Pruebas de API y verificación del formulario Admin.
Aceptación: Las mutaciones cruzadas devuelven rechazo y el formulario envía un número válido.
Prioridad MoSCoW: Must. Dificultad: Alta. Meta: Página Administración.
Hallazgo o necesidad: La UI invoca DELETE /products/{id} y la API no lo expone; TenantConfig falla TypeScript.</x:v>
      </x:c>
      <x:c r="C16" s="6" t="str">
        <x:v>msanhueza2024</x:v>
      </x:c>
      <x:c r="D16" s="6" t="str">
        <x:v>Alta</x:v>
      </x:c>
      <x:c r="E16" s="6" t="str">
        <x:v>Sprint 2</x:v>
      </x:c>
      <x:c r="F16" s="6" t="str">
        <x:v>Semana 5</x:v>
      </x:c>
      <x:c r="G16" s="6" t="str">
        <x:v>Backend</x:v>
      </x:c>
      <x:c r="H16" s="6" t="str">
        <x:v>Semana 5</x:v>
      </x:c>
      <x:c r="I16" s="6" t="str">
        <x:v>1h30m</x:v>
      </x:c>
    </x:row>
    <x:row r="17" ht="65" customHeight="1">
      <x:c r="A17" s="7" t="str">
        <x:v>Centralizar URL y token de APIs</x:v>
      </x:c>
      <x:c r="B17" s="7" t="str">
        <x:v>Objetivo: Extraer clientes tipados para MS-1, MS-3 y MS-5 con timeout y manejo uniforme de 401.
Entrega verificable: Módulo API usado por POS y páginas de turnos.
Aceptación: No quedan URLs duplicadas dentro del nuevo flujo de venta.
Prioridad MoSCoW: Must. Dificultad: Baja. Meta: Carrito y venta funcional.
Hallazgo o necesidad: Pos.tsx conserva carrito local y no habla con MS-5.</x:v>
      </x:c>
      <x:c r="C17" s="6" t="str">
        <x:v>admin</x:v>
      </x:c>
      <x:c r="D17" s="6" t="str">
        <x:v>Facil</x:v>
      </x:c>
      <x:c r="E17" s="6" t="str">
        <x:v>Sprint 2</x:v>
      </x:c>
      <x:c r="F17" s="6" t="str">
        <x:v>Semana 5</x:v>
      </x:c>
      <x:c r="G17" s="6" t="str">
        <x:v>Frontend</x:v>
      </x:c>
      <x:c r="H17" s="6" t="str">
        <x:v>Semana 5</x:v>
      </x:c>
      <x:c r="I17" s="6" t="str">
        <x:v>30m</x:v>
      </x:c>
    </x:row>
    <x:row r="18" ht="65" customHeight="1">
      <x:c r="A18" s="7" t="str">
        <x:v>Exigir turno antes de iniciar carrito</x:v>
      </x:c>
      <x:c r="B18" s="7" t="str">
        <x:v>Objetivo: Consultar turno activo al abrir POS y dirigir a apertura si no existe.
Entrega verificable: Guardia de ruta y estado de carga en POS.
Aceptación: Un cajero sin turno no puede crear una venta desde la interfaz.
Prioridad MoSCoW: Must. Dificultad: Media. Meta: Carrito y venta funcional.
Hallazgo o necesidad: Pos.tsx conserva carrito local y no habla con MS-5.</x:v>
      </x:c>
      <x:c r="C18" s="6" t="str">
        <x:v>admin</x:v>
      </x:c>
      <x:c r="D18" s="6" t="str">
        <x:v>Medio</x:v>
      </x:c>
      <x:c r="E18" s="6" t="str">
        <x:v>Sprint 2</x:v>
      </x:c>
      <x:c r="F18" s="6" t="str">
        <x:v>Semana 5</x:v>
      </x:c>
      <x:c r="G18" s="6" t="str">
        <x:v>Frontend</x:v>
      </x:c>
      <x:c r="H18" s="6" t="str">
        <x:v>Semana 5</x:v>
      </x:c>
      <x:c r="I18" s="6" t="str">
        <x:v>1h</x:v>
      </x:c>
    </x:row>
    <x:row r="19" ht="65" customHeight="1">
      <x:c r="A19" s="7" t="str">
        <x:v>Crear venta de servidor desde POS</x:v>
      </x:c>
      <x:c r="B19" s="7" t="str">
        <x:v>Objetivo: Enviar producto y cantidad al contrato seguro de MS-5 y conservar ventaId como origen de verdad.
Entrega verificable: Flujo de inicio de venta con errores visibles.
Aceptación: Recargar la pantalla recupera la venta pendiente desde MS-5.
Prioridad MoSCoW: Must. Dificultad: Media. Meta: Carrito y venta funcional.
Hallazgo o necesidad: Pos.tsx conserva carrito local y no habla con MS-5.</x:v>
      </x:c>
      <x:c r="C19" s="6" t="str">
        <x:v>admin</x:v>
      </x:c>
      <x:c r="D19" s="6" t="str">
        <x:v>Medio</x:v>
      </x:c>
      <x:c r="E19" s="6" t="str">
        <x:v>Sprint 2</x:v>
      </x:c>
      <x:c r="F19" s="6" t="str">
        <x:v>Semana 5</x:v>
      </x:c>
      <x:c r="G19" s="6" t="str">
        <x:v>Frontend</x:v>
      </x:c>
      <x:c r="H19" s="6" t="str">
        <x:v>Semana 5</x:v>
      </x:c>
      <x:c r="I19" s="6" t="str">
        <x:v>1h</x:v>
      </x:c>
    </x:row>
    <x:row r="20" ht="65" customHeight="1">
      <x:c r="A20" s="7" t="str">
        <x:v>Sincronizar agregar y modificar ítems</x:v>
      </x:c>
      <x:c r="B20" s="7" t="str">
        <x:v>Objetivo: Conectar escaneo, búsqueda y cambios de cantidad a endpoints de ítems; representar la respuesta del servidor.
Entrega verificable: Carrito React basado en VentaResponse.
Aceptación: Subtotal e IVA mostrados coinciden con la API tras cada operación.
Prioridad MoSCoW: Must. Dificultad: Media. Meta: Carrito y venta funcional.
Hallazgo o necesidad: Pos.tsx conserva carrito local y no habla con MS-5.</x:v>
      </x:c>
      <x:c r="C20" s="6" t="str">
        <x:v>admin</x:v>
      </x:c>
      <x:c r="D20" s="6" t="str">
        <x:v>Medio</x:v>
      </x:c>
      <x:c r="E20" s="6" t="str">
        <x:v>Sprint 2</x:v>
      </x:c>
      <x:c r="F20" s="6" t="str">
        <x:v>Semana 5</x:v>
      </x:c>
      <x:c r="G20" s="6" t="str">
        <x:v>Frontend</x:v>
      </x:c>
      <x:c r="H20" s="6" t="str">
        <x:v>Semana 5</x:v>
      </x:c>
      <x:c r="I20" s="6" t="str">
        <x:v>1h</x:v>
      </x:c>
    </x:row>
    <x:row r="21" ht="65" customHeight="1">
      <x:c r="A21" s="7" t="str">
        <x:v>Sincronizar eliminación y recuperación</x:v>
      </x:c>
      <x:c r="B21" s="7" t="str">
        <x:v>Objetivo: Eliminar ítems por API y recuperar venta pendiente al reiniciar POS sin usar localStorage como autoridad.
Entrega verificable: Flujo de recuperación y eliminación con estados de error.
Aceptación: El carrito recuperado coincide con GET /ventas/{id} y no revive un ítem eliminado.
Prioridad MoSCoW: Must. Dificultad: Alta. Meta: Carrito y venta funcional.
Hallazgo o necesidad: Pos.tsx conserva carrito local y no habla con MS-5.</x:v>
      </x:c>
      <x:c r="C21" s="6" t="str">
        <x:v>admin</x:v>
      </x:c>
      <x:c r="D21" s="6" t="str">
        <x:v>Alta</x:v>
      </x:c>
      <x:c r="E21" s="6" t="str">
        <x:v>Sprint 2</x:v>
      </x:c>
      <x:c r="F21" s="6" t="str">
        <x:v>Semana 5</x:v>
      </x:c>
      <x:c r="G21" s="6" t="str">
        <x:v>Frontend</x:v>
      </x:c>
      <x:c r="H21" s="6" t="str">
        <x:v>Semana 5</x:v>
      </x:c>
      <x:c r="I21" s="6" t="str">
        <x:v>1h30m</x:v>
      </x:c>
    </x:row>
    <x:row r="22" ht="65" customHeight="1">
      <x:c r="A22" s="7" t="str">
        <x:v>Definir casos de aceptación de las cinco metas</x:v>
      </x:c>
      <x:c r="B22" s="7" t="str">
        <x:v>Objetivo: Convertir metas de la imagen en escenarios verificables y separar prueba simulada de prueba física.
Entrega verificable: Matriz de aceptación con resultado esperado y dependencia.
Aceptación: Cada meta tiene al menos un criterio demostrable al cierre.
Prioridad MoSCoW: Must. Dificultad: Baja. Meta: Carrito y venta funcional.
Hallazgo o necesidad: Faltan pruebas E2E y de aislamiento para la venta.</x:v>
      </x:c>
      <x:c r="C22" s="6" t="str">
        <x:v>dprado2024</x:v>
      </x:c>
      <x:c r="D22" s="6" t="str">
        <x:v>Facil</x:v>
      </x:c>
      <x:c r="E22" s="6" t="str">
        <x:v>Sprint 2</x:v>
      </x:c>
      <x:c r="F22" s="6" t="str">
        <x:v>Semana 5</x:v>
      </x:c>
      <x:c r="G22" s="6" t="str">
        <x:v>Testing</x:v>
      </x:c>
      <x:c r="H22" s="6" t="str">
        <x:v>Semana 5</x:v>
      </x:c>
      <x:c r="I22" s="6" t="str">
        <x:v>30m</x:v>
      </x:c>
    </x:row>
    <x:row r="23" ht="65" customHeight="1">
      <x:c r="A23" s="7" t="str">
        <x:v>Crear fixtures de dos tenants y turnos</x:v>
      </x:c>
      <x:c r="B23" s="7" t="str">
        <x:v>Objetivo: Preparar datos aislados de usuarios, productos y ventas sin depender de seeds personales.
Entrega verificable: Fixtures y utilidades reutilizables para integración.
Aceptación: Las pruebas pueden crear y limpiar sus datos por tenant.
Prioridad MoSCoW: Must. Dificultad: Media. Meta: Carrito y venta funcional.
Hallazgo o necesidad: Faltan pruebas E2E y de aislamiento para la venta.</x:v>
      </x:c>
      <x:c r="C23" s="6" t="str">
        <x:v>dprado2024</x:v>
      </x:c>
      <x:c r="D23" s="6" t="str">
        <x:v>Medio</x:v>
      </x:c>
      <x:c r="E23" s="6" t="str">
        <x:v>Sprint 2</x:v>
      </x:c>
      <x:c r="F23" s="6" t="str">
        <x:v>Semana 5</x:v>
      </x:c>
      <x:c r="G23" s="6" t="str">
        <x:v>Testing</x:v>
      </x:c>
      <x:c r="H23" s="6" t="str">
        <x:v>Semana 5</x:v>
      </x:c>
      <x:c r="I23" s="6" t="str">
        <x:v>1h</x:v>
      </x:c>
    </x:row>
    <x:row r="24" ht="65" customHeight="1">
      <x:c r="A24" s="7" t="str">
        <x:v>Probar aislamiento de venta y producto</x:v>
      </x:c>
      <x:c r="B24" s="7" t="str">
        <x:v>Objetivo: Intentar leer o mutar venta y producto de tenant B con JWT de tenant A.
Entrega verificable: Suite RN-01 sobre MS-3 y MS-5.
Aceptación: Ninguna consulta devuelve datos cruzados y ninguna mutación los altera.
Prioridad MoSCoW: Must. Dificultad: Media. Meta: Carrito y venta funcional.
Hallazgo o necesidad: Faltan pruebas E2E y de aislamiento para la venta.</x:v>
      </x:c>
      <x:c r="C24" s="6" t="str">
        <x:v>dprado2024</x:v>
      </x:c>
      <x:c r="D24" s="6" t="str">
        <x:v>Medio</x:v>
      </x:c>
      <x:c r="E24" s="6" t="str">
        <x:v>Sprint 2</x:v>
      </x:c>
      <x:c r="F24" s="6" t="str">
        <x:v>Semana 5</x:v>
      </x:c>
      <x:c r="G24" s="6" t="str">
        <x:v>Testing</x:v>
      </x:c>
      <x:c r="H24" s="6" t="str">
        <x:v>Semana 5</x:v>
      </x:c>
      <x:c r="I24" s="6" t="str">
        <x:v>1h</x:v>
      </x:c>
    </x:row>
    <x:row r="25" ht="65" customHeight="1">
      <x:c r="A25" s="7" t="str">
        <x:v>Configurar prueba E2E de Electron POS</x:v>
      </x:c>
      <x:c r="B25" s="7" t="str">
        <x:v>Objetivo: Automatizar login, apertura de turno y entrada a POS con APIs simuladas estables.
Entrega verificable: Esqueleto Playwright y configuración de CI local.
Aceptación: La prueba arranca sin requerir datos de la cuenta personal del desarrollador.
Prioridad MoSCoW: Must. Dificultad: Media. Meta: Carrito y venta funcional.
Hallazgo o necesidad: Faltan pruebas E2E y de aislamiento para la venta.</x:v>
      </x:c>
      <x:c r="C25" s="6" t="str">
        <x:v>dprado2024</x:v>
      </x:c>
      <x:c r="D25" s="6" t="str">
        <x:v>Medio</x:v>
      </x:c>
      <x:c r="E25" s="6" t="str">
        <x:v>Sprint 2</x:v>
      </x:c>
      <x:c r="F25" s="6" t="str">
        <x:v>Semana 5</x:v>
      </x:c>
      <x:c r="G25" s="6" t="str">
        <x:v>Testing</x:v>
      </x:c>
      <x:c r="H25" s="6" t="str">
        <x:v>Semana 5</x:v>
      </x:c>
      <x:c r="I25" s="6" t="str">
        <x:v>1h</x:v>
      </x:c>
    </x:row>
    <x:row r="26" ht="65" customHeight="1">
      <x:c r="A26" s="7" t="str">
        <x:v>Ejecutar regresión de carrito</x:v>
      </x:c>
      <x:c r="B26" s="7" t="str">
        <x:v>Objetivo: Cubrir agregar, cambiar cantidad, eliminar, recargar y calcular IVA desde servidor.
Entrega verificable: E2E de carrito con capturas de fallo y reporte.
Aceptación: El flujo termina con totales iguales a la respuesta de MS-5.
Prioridad MoSCoW: Must. Dificultad: Alta. Meta: Carrito y venta funcional.
Hallazgo o necesidad: Faltan pruebas E2E y de aislamiento para la venta.</x:v>
      </x:c>
      <x:c r="C26" s="6" t="str">
        <x:v>dprado2024</x:v>
      </x:c>
      <x:c r="D26" s="6" t="str">
        <x:v>Alta</x:v>
      </x:c>
      <x:c r="E26" s="6" t="str">
        <x:v>Sprint 2</x:v>
      </x:c>
      <x:c r="F26" s="6" t="str">
        <x:v>Semana 5</x:v>
      </x:c>
      <x:c r="G26" s="6" t="str">
        <x:v>Testing</x:v>
      </x:c>
      <x:c r="H26" s="6" t="str">
        <x:v>Semana 5</x:v>
      </x:c>
      <x:c r="I26" s="6" t="str">
        <x:v>1h30m</x:v>
      </x:c>
    </x:row>
    <x:row r="27" ht="65" customHeight="1">
      <x:c r="A27" s="7" t="str">
        <x:v>Inventariar rutas y puertos reales</x:v>
      </x:c>
      <x:c r="B27" s="7" t="str">
        <x:v>Objetivo: Comparar rutas del gateway, attributes de controllers y hosts de desarrollo para las cinco metas.
Entrega verificable: Matriz de rutas verificadas con método, puerto y prefijo.
Aceptación: Se identifican todas las rutas usadas por POS y Admin.
Prioridad MoSCoW: Must. Dificultad: Baja. Meta: Salud técnica del sprint.
Hallazgo o necesidad: Kong conserva prefijos incompatibles y Compose no levanta las ocho APIs.</x:v>
      </x:c>
      <x:c r="C27" s="6" t="str">
        <x:v>dleiva2024</x:v>
      </x:c>
      <x:c r="D27" s="6" t="str">
        <x:v>Facil</x:v>
      </x:c>
      <x:c r="E27" s="6" t="str">
        <x:v>Sprint 2</x:v>
      </x:c>
      <x:c r="F27" s="6" t="str">
        <x:v>Semana 5</x:v>
      </x:c>
      <x:c r="G27" s="6" t="str">
        <x:v>DevOps</x:v>
      </x:c>
      <x:c r="H27" s="6" t="str">
        <x:v>Semana 5</x:v>
      </x:c>
      <x:c r="I27" s="6" t="str">
        <x:v>30m</x:v>
      </x:c>
    </x:row>
    <x:row r="28" ht="65" customHeight="1">
      <x:c r="A28" s="7" t="str">
        <x:v>Corregir rutas Kong del flujo crítico</x:v>
      </x:c>
      <x:c r="B28" s="7" t="str">
        <x:v>Objetivo: Alinear /api/auth, /api/products, /api/ventas y /api/turnos con el path efectivo que recibe cada controller.
Entrega verificable: Configuración declarativa Kong actualizada.
Aceptación: Una petición de prueba llega al endpoint esperado sin 404 de prefijo.
Prioridad MoSCoW: Must. Dificultad: Media. Meta: Salud técnica del sprint.
Hallazgo o necesidad: Kong conserva prefijos incompatibles y Compose no levanta las ocho APIs.</x:v>
      </x:c>
      <x:c r="C28" s="6" t="str">
        <x:v>dleiva2024</x:v>
      </x:c>
      <x:c r="D28" s="6" t="str">
        <x:v>Medio</x:v>
      </x:c>
      <x:c r="E28" s="6" t="str">
        <x:v>Sprint 2</x:v>
      </x:c>
      <x:c r="F28" s="6" t="str">
        <x:v>Semana 5</x:v>
      </x:c>
      <x:c r="G28" s="6" t="str">
        <x:v>DevOps</x:v>
      </x:c>
      <x:c r="H28" s="6" t="str">
        <x:v>Semana 5</x:v>
      </x:c>
      <x:c r="I28" s="6" t="str">
        <x:v>1h</x:v>
      </x:c>
    </x:row>
    <x:row r="29" ht="65" customHeight="1">
      <x:c r="A29" s="7" t="str">
        <x:v>Parametrizar destinos de APIs</x:v>
      </x:c>
      <x:c r="B29" s="7" t="str">
        <x:v>Objetivo: Separar destinos local y contenedor mediante configuración sin secretos versionados.
Entrega verificable: Variables de entorno y ejemplo de configuración.
Aceptación: El mismo frontend puede apuntar al entorno local o al gateway.
Prioridad MoSCoW: Must. Dificultad: Media. Meta: Salud técnica del sprint.
Hallazgo o necesidad: Kong conserva prefijos incompatibles y Compose no levanta las ocho APIs.</x:v>
      </x:c>
      <x:c r="C29" s="6" t="str">
        <x:v>dleiva2024</x:v>
      </x:c>
      <x:c r="D29" s="6" t="str">
        <x:v>Medio</x:v>
      </x:c>
      <x:c r="E29" s="6" t="str">
        <x:v>Sprint 2</x:v>
      </x:c>
      <x:c r="F29" s="6" t="str">
        <x:v>Semana 5</x:v>
      </x:c>
      <x:c r="G29" s="6" t="str">
        <x:v>DevOps</x:v>
      </x:c>
      <x:c r="H29" s="6" t="str">
        <x:v>Semana 5</x:v>
      </x:c>
      <x:c r="I29" s="6" t="str">
        <x:v>1h</x:v>
      </x:c>
    </x:row>
    <x:row r="30" ht="65" customHeight="1">
      <x:c r="A30" s="7" t="str">
        <x:v>Añadir TypeScript al gate CI</x:v>
      </x:c>
      <x:c r="B30" s="7" t="str">
        <x:v>Objetivo: Ejecutar npm ci y tsc --noEmit antes del empaquetado Electron.
Entrega verificable: Workflow que falla ante errores de tipos.
Aceptación: El error actual de TenantConfig queda detectado por CI hasta corregirse.
Prioridad MoSCoW: Must. Dificultad: Media. Meta: Salud técnica del sprint.
Hallazgo o necesidad: Kong conserva prefijos incompatibles y Compose no levanta las ocho APIs.</x:v>
      </x:c>
      <x:c r="C30" s="6" t="str">
        <x:v>dleiva2024</x:v>
      </x:c>
      <x:c r="D30" s="6" t="str">
        <x:v>Medio</x:v>
      </x:c>
      <x:c r="E30" s="6" t="str">
        <x:v>Sprint 2</x:v>
      </x:c>
      <x:c r="F30" s="6" t="str">
        <x:v>Semana 5</x:v>
      </x:c>
      <x:c r="G30" s="6" t="str">
        <x:v>DevOps</x:v>
      </x:c>
      <x:c r="H30" s="6" t="str">
        <x:v>Semana 5</x:v>
      </x:c>
      <x:c r="I30" s="6" t="str">
        <x:v>1h</x:v>
      </x:c>
    </x:row>
    <x:row r="31" ht="65" customHeight="1">
      <x:c r="A31" s="7" t="str">
        <x:v>Documentar arranque reproducible del núcleo</x:v>
      </x:c>
      <x:c r="B31" s="7" t="str">
        <x:v>Objetivo: Describir comandos y orden para PostgreSQL, Kafka, gateway y MS-1 a MS-5 sin afirmar que Compose levanta todos.
Entrega verificable: Guía de arranque y smoke test HTTP.
Aceptación: Una máquina limpia puede llegar a login, catálogo y health de POS con la guía.
Prioridad MoSCoW: Should. Dificultad: Alta. Meta: Salud técnica del sprint.
Hallazgo o necesidad: Kong conserva prefijos incompatibles y Compose no levanta las ocho APIs.</x:v>
      </x:c>
      <x:c r="C31" s="6" t="str">
        <x:v>dleiva2024</x:v>
      </x:c>
      <x:c r="D31" s="6" t="str">
        <x:v>Alta</x:v>
      </x:c>
      <x:c r="E31" s="6" t="str">
        <x:v>Sprint 2</x:v>
      </x:c>
      <x:c r="F31" s="6" t="str">
        <x:v>Semana 5</x:v>
      </x:c>
      <x:c r="G31" s="6" t="str">
        <x:v>DevOps</x:v>
      </x:c>
      <x:c r="H31" s="6" t="str">
        <x:v>Semana 5</x:v>
      </x:c>
      <x:c r="I31" s="6" t="str">
        <x:v>1h30m</x:v>
      </x:c>
    </x:row>
    <x:row r="32" ht="65" customHeight="1">
      <x:c r="A32" s="7" t="str">
        <x:v>Definir contrato de pasarela simulada</x:v>
      </x:c>
      <x:c r="B32" s="7" t="str">
        <x:v>Objetivo: Modelar autorización, rechazo, timeout, referencia y moneda sin PAN ni datos sensibles.
Entrega verificable: IPaymentGatewayClient y DTOs de request y respuesta.
Aceptación: El contrato solo transporta referencia opaca de pago.
Prioridad MoSCoW: Must. Dificultad: Baja. Meta: Cobro con tarjeta simulado.
Hallazgo o necesidad: No existe una pasarela para pagos con tarjeta.</x:v>
      </x:c>
      <x:c r="C32" s="6" t="str">
        <x:v>spereda2024</x:v>
      </x:c>
      <x:c r="D32" s="6" t="str">
        <x:v>Facil</x:v>
      </x:c>
      <x:c r="E32" s="6" t="str">
        <x:v>Sprint 2</x:v>
      </x:c>
      <x:c r="F32" s="6" t="str">
        <x:v>Semana 6</x:v>
      </x:c>
      <x:c r="G32" s="6" t="str">
        <x:v>Backend</x:v>
      </x:c>
      <x:c r="H32" s="6" t="str">
        <x:v>Semana 6</x:v>
      </x:c>
      <x:c r="I32" s="6" t="str">
        <x:v>30m</x:v>
      </x:c>
    </x:row>
    <x:row r="33" ht="65" customHeight="1">
      <x:c r="A33" s="7" t="str">
        <x:v>Agregar persistencia de intento de tarjeta</x:v>
      </x:c>
      <x:c r="B33" s="7" t="str">
        <x:v>Objetivo: Guardar idempotency key, estado, monto y referencia por venta y tenant.
Entrega verificable: Entidad y migración para intentos de pago.
Aceptación: Reintentar una petición con la misma clave no crea dos cargos.
Prioridad MoSCoW: Must. Dificultad: Media. Meta: Cobro con tarjeta simulado.
Hallazgo o necesidad: No existe una pasarela para pagos con tarjeta.</x:v>
      </x:c>
      <x:c r="C33" s="6" t="str">
        <x:v>spereda2024</x:v>
      </x:c>
      <x:c r="D33" s="6" t="str">
        <x:v>Medio</x:v>
      </x:c>
      <x:c r="E33" s="6" t="str">
        <x:v>Sprint 2</x:v>
      </x:c>
      <x:c r="F33" s="6" t="str">
        <x:v>Semana 6</x:v>
      </x:c>
      <x:c r="G33" s="6" t="str">
        <x:v>Backend</x:v>
      </x:c>
      <x:c r="H33" s="6" t="str">
        <x:v>Semana 6</x:v>
      </x:c>
      <x:c r="I33" s="6" t="str">
        <x:v>1h</x:v>
      </x:c>
    </x:row>
    <x:row r="34" ht="65" customHeight="1">
      <x:c r="A34" s="7" t="str">
        <x:v>Crear endpoint cobrar-tarjeta</x:v>
      </x:c>
      <x:c r="B34" s="7" t="str">
        <x:v>Objetivo: Validar JWT, tenant, turno, venta PENDIENTE y total antes de llamar al cliente de pasarela.
Entrega verificable: Endpoint POST /ventas/{id}/cobrar-tarjeta.
Aceptación: Una venta ajena o completada no llama a la pasarela.
Prioridad MoSCoW: Must. Dificultad: Media. Meta: Cobro con tarjeta simulado.
Hallazgo o necesidad: No existe una pasarela para pagos con tarjeta.</x:v>
      </x:c>
      <x:c r="C34" s="6" t="str">
        <x:v>spereda2024</x:v>
      </x:c>
      <x:c r="D34" s="6" t="str">
        <x:v>Medio</x:v>
      </x:c>
      <x:c r="E34" s="6" t="str">
        <x:v>Sprint 2</x:v>
      </x:c>
      <x:c r="F34" s="6" t="str">
        <x:v>Semana 6</x:v>
      </x:c>
      <x:c r="G34" s="6" t="str">
        <x:v>Backend</x:v>
      </x:c>
      <x:c r="H34" s="6" t="str">
        <x:v>Semana 6</x:v>
      </x:c>
      <x:c r="I34" s="6" t="str">
        <x:v>1h</x:v>
      </x:c>
    </x:row>
    <x:row r="35" ht="65" customHeight="1">
      <x:c r="A35" s="7" t="str">
        <x:v>Persistir aprobación y rechazo</x:v>
      </x:c>
      <x:c r="B35" s="7" t="str">
        <x:v>Objetivo: Completar venta solo ante autorización; conservar PENDIENTE si se rechaza o agota el tiempo.
Entrega verificable: Estados HTTP y Pago TARJETA con referencia.
Aceptación: El rechazo no genera sale.completed ni Pago aprobado.
Prioridad MoSCoW: Must. Dificultad: Media. Meta: Cobro con tarjeta simulado.
Hallazgo o necesidad: No existe una pasarela para pagos con tarjeta.</x:v>
      </x:c>
      <x:c r="C35" s="6" t="str">
        <x:v>spereda2024</x:v>
      </x:c>
      <x:c r="D35" s="6" t="str">
        <x:v>Medio</x:v>
      </x:c>
      <x:c r="E35" s="6" t="str">
        <x:v>Sprint 2</x:v>
      </x:c>
      <x:c r="F35" s="6" t="str">
        <x:v>Semana 6</x:v>
      </x:c>
      <x:c r="G35" s="6" t="str">
        <x:v>Backend</x:v>
      </x:c>
      <x:c r="H35" s="6" t="str">
        <x:v>Semana 6</x:v>
      </x:c>
      <x:c r="I35" s="6" t="str">
        <x:v>1h</x:v>
      </x:c>
    </x:row>
    <x:row r="36" ht="65" customHeight="1">
      <x:c r="A36" s="7" t="str">
        <x:v>Probar cobro seguro e idempotente</x:v>
      </x:c>
      <x:c r="B36" s="7" t="str">
        <x:v>Objetivo: Cubrir aprobado, rechazado, timeout y repetición de la misma clave de pago.
Entrega verificable: Pruebas de integración de MS-5 con pasarela simulada.
Aceptación: No se duplica el cargo ni se completa la venta ante respuesta incierta.
Prioridad MoSCoW: Must. Dificultad: Alta. Meta: Cobro con tarjeta simulado.
Hallazgo o necesidad: No existe una pasarela para pagos con tarjeta.</x:v>
      </x:c>
      <x:c r="C36" s="6" t="str">
        <x:v>spereda2024</x:v>
      </x:c>
      <x:c r="D36" s="6" t="str">
        <x:v>Alta</x:v>
      </x:c>
      <x:c r="E36" s="6" t="str">
        <x:v>Sprint 2</x:v>
      </x:c>
      <x:c r="F36" s="6" t="str">
        <x:v>Semana 6</x:v>
      </x:c>
      <x:c r="G36" s="6" t="str">
        <x:v>Backend</x:v>
      </x:c>
      <x:c r="H36" s="6" t="str">
        <x:v>Semana 6</x:v>
      </x:c>
      <x:c r="I36" s="6" t="str">
        <x:v>1h30m</x:v>
      </x:c>
    </x:row>
    <x:row r="37" ht="65" customHeight="1">
      <x:c r="A37" s="7" t="str">
        <x:v>Definir escenarios controlables del simulador</x:v>
      </x:c>
      <x:c r="B37" s="7" t="str">
        <x:v>Objetivo: Especificar respuestas aprobado, rechazado y timeout mediante identificadores de prueba no sensibles.
Entrega verificable: Tabla de escenarios y payloads del simulador.
Aceptación: Cada escenario es reproducible sin tarjeta real.
Prioridad MoSCoW: Must. Dificultad: Baja. Meta: Cobro con tarjeta simulado.
Hallazgo o necesidad: El pago con tarjeta debe pasar por pasarela y producir trazas auditables.</x:v>
      </x:c>
      <x:c r="C37" s="6" t="str">
        <x:v>nmartinez2024</x:v>
      </x:c>
      <x:c r="D37" s="6" t="str">
        <x:v>Facil</x:v>
      </x:c>
      <x:c r="E37" s="6" t="str">
        <x:v>Sprint 2</x:v>
      </x:c>
      <x:c r="F37" s="6" t="str">
        <x:v>Semana 6</x:v>
      </x:c>
      <x:c r="G37" s="6" t="str">
        <x:v>Backend</x:v>
      </x:c>
      <x:c r="H37" s="6" t="str">
        <x:v>Semana 6</x:v>
      </x:c>
      <x:c r="I37" s="6" t="str">
        <x:v>30m</x:v>
      </x:c>
    </x:row>
    <x:row r="38" ht="65" customHeight="1">
      <x:c r="A38" s="7" t="str">
        <x:v>Implementar adaptador HTTP de pasarela</x:v>
      </x:c>
      <x:c r="B38" s="7" t="str">
        <x:v>Objetivo: Crear cliente con URL configurable, timeout explícito y propagación de idempotency key.
Entrega verificable: Adaptador que implementa IPaymentGatewayClient.
Aceptación: No registra ni transmite datos de tarjeta al backend local.
Prioridad MoSCoW: Must. Dificultad: Media. Meta: Cobro con tarjeta simulado.
Hallazgo o necesidad: El pago con tarjeta debe pasar por pasarela y producir trazas auditables.</x:v>
      </x:c>
      <x:c r="C38" s="6" t="str">
        <x:v>nmartinez2024</x:v>
      </x:c>
      <x:c r="D38" s="6" t="str">
        <x:v>Medio</x:v>
      </x:c>
      <x:c r="E38" s="6" t="str">
        <x:v>Sprint 2</x:v>
      </x:c>
      <x:c r="F38" s="6" t="str">
        <x:v>Semana 6</x:v>
      </x:c>
      <x:c r="G38" s="6" t="str">
        <x:v>Backend</x:v>
      </x:c>
      <x:c r="H38" s="6" t="str">
        <x:v>Semana 6</x:v>
      </x:c>
      <x:c r="I38" s="6" t="str">
        <x:v>1h</x:v>
      </x:c>
    </x:row>
    <x:row r="39" ht="65" customHeight="1">
      <x:c r="A39" s="7" t="str">
        <x:v>Crear servicio simulador de autorizaciones</x:v>
      </x:c>
      <x:c r="B39" s="7" t="str">
        <x:v>Objetivo: Devolver respuestas deterministas y una referencia opaca para las solicitudes de prueba.
Entrega verificable: Proceso local de pasarela con endpoint de autorización.
Aceptación: Aprobación y rechazo se pueden disparar sin conexión bancaria.
Prioridad MoSCoW: Must. Dificultad: Media. Meta: Cobro con tarjeta simulado.
Hallazgo o necesidad: El pago con tarjeta debe pasar por pasarela y producir trazas auditables.</x:v>
      </x:c>
      <x:c r="C39" s="6" t="str">
        <x:v>nmartinez2024</x:v>
      </x:c>
      <x:c r="D39" s="6" t="str">
        <x:v>Medio</x:v>
      </x:c>
      <x:c r="E39" s="6" t="str">
        <x:v>Sprint 2</x:v>
      </x:c>
      <x:c r="F39" s="6" t="str">
        <x:v>Semana 6</x:v>
      </x:c>
      <x:c r="G39" s="6" t="str">
        <x:v>Backend</x:v>
      </x:c>
      <x:c r="H39" s="6" t="str">
        <x:v>Semana 6</x:v>
      </x:c>
      <x:c r="I39" s="6" t="str">
        <x:v>1h</x:v>
      </x:c>
    </x:row>
    <x:row r="40" ht="65" customHeight="1">
      <x:c r="A40" s="7" t="str">
        <x:v>Evitar reintento inseguro de cobro</x:v>
      </x:c>
      <x:c r="B40" s="7" t="str">
        <x:v>Objetivo: Distinguir timeout de rechazo y consultar estado por clave antes de un nuevo intento de autorización.
Entrega verificable: Política de reintento y consulta al simulador.
Aceptación: Un timeout no provoca automáticamente un segundo cargo.
Prioridad MoSCoW: Must. Dificultad: Media. Meta: Cobro con tarjeta simulado.
Hallazgo o necesidad: El pago con tarjeta debe pasar por pasarela y producir trazas auditables.</x:v>
      </x:c>
      <x:c r="C40" s="6" t="str">
        <x:v>nmartinez2024</x:v>
      </x:c>
      <x:c r="D40" s="6" t="str">
        <x:v>Medio</x:v>
      </x:c>
      <x:c r="E40" s="6" t="str">
        <x:v>Sprint 2</x:v>
      </x:c>
      <x:c r="F40" s="6" t="str">
        <x:v>Semana 6</x:v>
      </x:c>
      <x:c r="G40" s="6" t="str">
        <x:v>Backend</x:v>
      </x:c>
      <x:c r="H40" s="6" t="str">
        <x:v>Semana 6</x:v>
      </x:c>
      <x:c r="I40" s="6" t="str">
        <x:v>1h</x:v>
      </x:c>
    </x:row>
    <x:row r="41" ht="65" customHeight="1">
      <x:c r="A41" s="7" t="str">
        <x:v>Probar secuencia de pago y evento</x:v>
      </x:c>
      <x:c r="B41" s="7" t="str">
        <x:v>Objetivo: Confirmar que solo la aprobación persiste Pago TARJETA y deja sale.completed en outbox.
Entrega verificable: Pruebas de contrato y de integración.
Aceptación: La referencia de pasarela coincide entre Pago y resultado mostrado.
Prioridad MoSCoW: Must. Dificultad: Alta. Meta: Cobro con tarjeta simulado.
Hallazgo o necesidad: El pago con tarjeta debe pasar por pasarela y producir trazas auditables.</x:v>
      </x:c>
      <x:c r="C41" s="6" t="str">
        <x:v>nmartinez2024</x:v>
      </x:c>
      <x:c r="D41" s="6" t="str">
        <x:v>Alta</x:v>
      </x:c>
      <x:c r="E41" s="6" t="str">
        <x:v>Sprint 2</x:v>
      </x:c>
      <x:c r="F41" s="6" t="str">
        <x:v>Semana 6</x:v>
      </x:c>
      <x:c r="G41" s="6" t="str">
        <x:v>Backend</x:v>
      </x:c>
      <x:c r="H41" s="6" t="str">
        <x:v>Semana 6</x:v>
      </x:c>
      <x:c r="I41" s="6" t="str">
        <x:v>1h30m</x:v>
      </x:c>
    </x:row>
    <x:row r="42" ht="65" customHeight="1">
      <x:c r="A42" s="7" t="str">
        <x:v>Definir estados y permisos Admin</x:v>
      </x:c>
      <x:c r="B42" s="7" t="str">
        <x:v>Objetivo: Precisar qué puede ver o cambiar ADMIN y cómo se trata usuario inactivo.
Entrega verificable: Contrato de pantalla y errores para edición y baja.
Aceptación: La UI no ofrece acciones administrativas a CAJERO.
Prioridad MoSCoW: Must. Dificultad: Baja. Meta: Página Administración.
Hallazgo o necesidad: Administración tiene listado y creación, pero falta editar y desactivar usuarios.</x:v>
      </x:c>
      <x:c r="C42" s="6" t="str">
        <x:v>msanhueza2024</x:v>
      </x:c>
      <x:c r="D42" s="6" t="str">
        <x:v>Facil</x:v>
      </x:c>
      <x:c r="E42" s="6" t="str">
        <x:v>Sprint 2</x:v>
      </x:c>
      <x:c r="F42" s="6" t="str">
        <x:v>Semana 6</x:v>
      </x:c>
      <x:c r="G42" s="6" t="str">
        <x:v>Frontend</x:v>
      </x:c>
      <x:c r="H42" s="6" t="str">
        <x:v>Semana 6</x:v>
      </x:c>
      <x:c r="I42" s="6" t="str">
        <x:v>30m</x:v>
      </x:c>
    </x:row>
    <x:row r="43" ht="65" customHeight="1">
      <x:c r="A43" s="7" t="str">
        <x:v>Implementar edición de usuario</x:v>
      </x:c>
      <x:c r="B43" s="7" t="str">
        <x:v>Objetivo: Crear formulario precargado que actualiza datos básicos mediante PUT /users/{id}.
Entrega verificable: Modal de edición con validación y feedback.
Aceptación: La lista refleja el cambio sin crear un usuario nuevo.
Prioridad MoSCoW: Must. Dificultad: Media. Meta: Página Administración.
Hallazgo o necesidad: Administración tiene listado y creación, pero falta editar y desactivar usuarios.</x:v>
      </x:c>
      <x:c r="C43" s="6" t="str">
        <x:v>msanhueza2024</x:v>
      </x:c>
      <x:c r="D43" s="6" t="str">
        <x:v>Medio</x:v>
      </x:c>
      <x:c r="E43" s="6" t="str">
        <x:v>Sprint 2</x:v>
      </x:c>
      <x:c r="F43" s="6" t="str">
        <x:v>Semana 6</x:v>
      </x:c>
      <x:c r="G43" s="6" t="str">
        <x:v>Frontend</x:v>
      </x:c>
      <x:c r="H43" s="6" t="str">
        <x:v>Semana 6</x:v>
      </x:c>
      <x:c r="I43" s="6" t="str">
        <x:v>1h</x:v>
      </x:c>
    </x:row>
    <x:row r="44" ht="65" customHeight="1">
      <x:c r="A44" s="7" t="str">
        <x:v>Implementar desactivación de usuario</x:v>
      </x:c>
      <x:c r="B44" s="7" t="str">
        <x:v>Objetivo: Agregar confirmación y llamada a DELETE /users/{id} con manejo de autodesactivación y 404.
Entrega verificable: Acción de baja lógica en UsuariosList.
Aceptación: El usuario queda inactivo en la lista y no desaparece de la auditoría.
Prioridad MoSCoW: Must. Dificultad: Media. Meta: Página Administración.
Hallazgo o necesidad: Administración tiene listado y creación, pero falta editar y desactivar usuarios.</x:v>
      </x:c>
      <x:c r="C44" s="6" t="str">
        <x:v>msanhueza2024</x:v>
      </x:c>
      <x:c r="D44" s="6" t="str">
        <x:v>Medio</x:v>
      </x:c>
      <x:c r="E44" s="6" t="str">
        <x:v>Sprint 2</x:v>
      </x:c>
      <x:c r="F44" s="6" t="str">
        <x:v>Semana 6</x:v>
      </x:c>
      <x:c r="G44" s="6" t="str">
        <x:v>Frontend</x:v>
      </x:c>
      <x:c r="H44" s="6" t="str">
        <x:v>Semana 6</x:v>
      </x:c>
      <x:c r="I44" s="6" t="str">
        <x:v>1h</x:v>
      </x:c>
    </x:row>
    <x:row r="45" ht="65" customHeight="1">
      <x:c r="A45" s="7" t="str">
        <x:v>Ajustar configuración y rol activo</x:v>
      </x:c>
      <x:c r="B45" s="7" t="str">
        <x:v>Objetivo: Mostrar permiso de edición solo a ADMIN y conservar feedback de guardado de configuración del tenant.
Entrega verificable: Página Admin coherente con roles y estado de carga.
Aceptación: CAJERO recibe acceso denegado y ADMIN puede guardar IVA.
Prioridad MoSCoW: Must. Dificultad: Media. Meta: Página Administración.
Hallazgo o necesidad: Administración tiene listado y creación, pero falta editar y desactivar usuarios.</x:v>
      </x:c>
      <x:c r="C45" s="6" t="str">
        <x:v>msanhueza2024</x:v>
      </x:c>
      <x:c r="D45" s="6" t="str">
        <x:v>Medio</x:v>
      </x:c>
      <x:c r="E45" s="6" t="str">
        <x:v>Sprint 2</x:v>
      </x:c>
      <x:c r="F45" s="6" t="str">
        <x:v>Semana 6</x:v>
      </x:c>
      <x:c r="G45" s="6" t="str">
        <x:v>Frontend</x:v>
      </x:c>
      <x:c r="H45" s="6" t="str">
        <x:v>Semana 6</x:v>
      </x:c>
      <x:c r="I45" s="6" t="str">
        <x:v>1h</x:v>
      </x:c>
    </x:row>
    <x:row r="46" ht="65" customHeight="1">
      <x:c r="A46" s="7" t="str">
        <x:v>Probar flujos Admin en interfaz</x:v>
      </x:c>
      <x:c r="B46" s="7" t="str">
        <x:v>Objetivo: Ejecutar alta, edición, baja y cambio de configuración con respuestas reales o fixtures HTTP.
Entrega verificable: Pruebas de componentes o E2E de Admin.
Aceptación: Errores 400, 403 y 409 se explican sin perder datos del formulario.
Prioridad MoSCoW: Must. Dificultad: Alta. Meta: Página Administración.
Hallazgo o necesidad: Administración tiene listado y creación, pero falta editar y desactivar usuarios.</x:v>
      </x:c>
      <x:c r="C46" s="6" t="str">
        <x:v>msanhueza2024</x:v>
      </x:c>
      <x:c r="D46" s="6" t="str">
        <x:v>Alta</x:v>
      </x:c>
      <x:c r="E46" s="6" t="str">
        <x:v>Sprint 2</x:v>
      </x:c>
      <x:c r="F46" s="6" t="str">
        <x:v>Semana 6</x:v>
      </x:c>
      <x:c r="G46" s="6" t="str">
        <x:v>Frontend</x:v>
      </x:c>
      <x:c r="H46" s="6" t="str">
        <x:v>Semana 6</x:v>
      </x:c>
      <x:c r="I46" s="6" t="str">
        <x:v>1h30m</x:v>
      </x:c>
    </x:row>
    <x:row r="47" ht="65" customHeight="1">
      <x:c r="A47" s="7" t="str">
        <x:v>Definir UX de efectivo y tarjeta</x:v>
      </x:c>
      <x:c r="B47" s="7" t="str">
        <x:v>Objetivo: Dibujar estados disponible, procesando, aprobado, rechazado y resultado incierto sin solicitar datos de tarjeta.
Entrega verificable: Contrato visual del modal de cobro.
Aceptación: Solo se muestra monto y referencia opaca para tarjeta.
Prioridad MoSCoW: Should. Dificultad: Baja. Meta: Cobro con tarjeta simulado.
Hallazgo o necesidad: El botón Cobrar de POS no ejecuta pagos.</x:v>
      </x:c>
      <x:c r="C47" s="6" t="str">
        <x:v>admin</x:v>
      </x:c>
      <x:c r="D47" s="6" t="str">
        <x:v>Facil</x:v>
      </x:c>
      <x:c r="E47" s="6" t="str">
        <x:v>Sprint 2</x:v>
      </x:c>
      <x:c r="F47" s="6" t="str">
        <x:v>Semana 6</x:v>
      </x:c>
      <x:c r="G47" s="6" t="str">
        <x:v>Frontend</x:v>
      </x:c>
      <x:c r="H47" s="6" t="str">
        <x:v>Semana 6</x:v>
      </x:c>
      <x:c r="I47" s="6" t="str">
        <x:v>30m</x:v>
      </x:c>
    </x:row>
    <x:row r="48" ht="65" customHeight="1">
      <x:c r="A48" s="7" t="str">
        <x:v>Conectar cobro en efectivo</x:v>
      </x:c>
      <x:c r="B48" s="7" t="str">
        <x:v>Objetivo: Enviar monto recibido a POST /ventas/{id}/cobrar y mostrar vuelto calculado por MS-5.
Entrega verificable: Modal de efectivo funcional.
Aceptación: Monto insuficiente deja venta pendiente y muestra diferencia.
Prioridad MoSCoW: Must. Dificultad: Media. Meta: Cobro con tarjeta simulado.
Hallazgo o necesidad: El botón Cobrar de POS no ejecuta pagos.</x:v>
      </x:c>
      <x:c r="C48" s="6" t="str">
        <x:v>admin</x:v>
      </x:c>
      <x:c r="D48" s="6" t="str">
        <x:v>Medio</x:v>
      </x:c>
      <x:c r="E48" s="6" t="str">
        <x:v>Sprint 2</x:v>
      </x:c>
      <x:c r="F48" s="6" t="str">
        <x:v>Semana 6</x:v>
      </x:c>
      <x:c r="G48" s="6" t="str">
        <x:v>Frontend</x:v>
      </x:c>
      <x:c r="H48" s="6" t="str">
        <x:v>Semana 6</x:v>
      </x:c>
      <x:c r="I48" s="6" t="str">
        <x:v>1h</x:v>
      </x:c>
    </x:row>
    <x:row r="49" ht="65" customHeight="1">
      <x:c r="A49" s="7" t="str">
        <x:v>Conectar cobro con tarjeta</x:v>
      </x:c>
      <x:c r="B49" s="7" t="str">
        <x:v>Objetivo: Llamar a cobrar-tarjeta con clave de idempotencia y mostrar estado de la pasarela simulada.
Entrega verificable: Modal de tarjeta conectado al backend.
Aceptación: Una aprobación cierra el carrito y un rechazo permite cambiar método.
Prioridad MoSCoW: Must. Dificultad: Media. Meta: Cobro con tarjeta simulado.
Hallazgo o necesidad: El botón Cobrar de POS no ejecuta pagos.</x:v>
      </x:c>
      <x:c r="C49" s="6" t="str">
        <x:v>admin</x:v>
      </x:c>
      <x:c r="D49" s="6" t="str">
        <x:v>Medio</x:v>
      </x:c>
      <x:c r="E49" s="6" t="str">
        <x:v>Sprint 2</x:v>
      </x:c>
      <x:c r="F49" s="6" t="str">
        <x:v>Semana 6</x:v>
      </x:c>
      <x:c r="G49" s="6" t="str">
        <x:v>Frontend</x:v>
      </x:c>
      <x:c r="H49" s="6" t="str">
        <x:v>Semana 6</x:v>
      </x:c>
      <x:c r="I49" s="6" t="str">
        <x:v>1h</x:v>
      </x:c>
    </x:row>
    <x:row r="50" ht="65" customHeight="1">
      <x:c r="A50" s="7" t="str">
        <x:v>Manejar timeout sin doble cargo</x:v>
      </x:c>
      <x:c r="B50" s="7" t="str">
        <x:v>Objetivo: Bloquear reenvío automático y consultar estado del intento antes de habilitar reintento manual.
Entrega verificable: Estado UI de resultado incierto y recuperación.
Aceptación: El usuario no puede disparar dos autorizaciones por doble clic.
Prioridad MoSCoW: Must. Dificultad: Media. Meta: Cobro con tarjeta simulado.
Hallazgo o necesidad: El botón Cobrar de POS no ejecuta pagos.</x:v>
      </x:c>
      <x:c r="C50" s="6" t="str">
        <x:v>admin</x:v>
      </x:c>
      <x:c r="D50" s="6" t="str">
        <x:v>Medio</x:v>
      </x:c>
      <x:c r="E50" s="6" t="str">
        <x:v>Sprint 2</x:v>
      </x:c>
      <x:c r="F50" s="6" t="str">
        <x:v>Semana 6</x:v>
      </x:c>
      <x:c r="G50" s="6" t="str">
        <x:v>Frontend</x:v>
      </x:c>
      <x:c r="H50" s="6" t="str">
        <x:v>Semana 6</x:v>
      </x:c>
      <x:c r="I50" s="6" t="str">
        <x:v>1h</x:v>
      </x:c>
    </x:row>
    <x:row r="51" ht="65" customHeight="1">
      <x:c r="A51" s="7" t="str">
        <x:v>Probar estados de pago en POS</x:v>
      </x:c>
      <x:c r="B51" s="7" t="str">
        <x:v>Objetivo: Recorrer efectivo, aprobación, rechazo, timeout y recarga de pantalla con mocks deterministas.
Entrega verificable: Pruebas de UI de cobro.
Aceptación: En ningún estado de rechazo se muestra venta completada.
Prioridad MoSCoW: Must. Dificultad: Alta. Meta: Cobro con tarjeta simulado.
Hallazgo o necesidad: El botón Cobrar de POS no ejecuta pagos.</x:v>
      </x:c>
      <x:c r="C51" s="6" t="str">
        <x:v>admin</x:v>
      </x:c>
      <x:c r="D51" s="6" t="str">
        <x:v>Alta</x:v>
      </x:c>
      <x:c r="E51" s="6" t="str">
        <x:v>Sprint 2</x:v>
      </x:c>
      <x:c r="F51" s="6" t="str">
        <x:v>Semana 6</x:v>
      </x:c>
      <x:c r="G51" s="6" t="str">
        <x:v>Frontend</x:v>
      </x:c>
      <x:c r="H51" s="6" t="str">
        <x:v>Semana 6</x:v>
      </x:c>
      <x:c r="I51" s="6" t="str">
        <x:v>1h30m</x:v>
      </x:c>
    </x:row>
    <x:row r="52" ht="65" customHeight="1">
      <x:c r="A52" s="7" t="str">
        <x:v>Definir matriz RN-02 de pagos</x:v>
      </x:c>
      <x:c r="B52" s="7" t="str">
        <x:v>Objetivo: Listar escenarios por método, resultado, idempotencia y datos permitidos en logs.
Entrega verificable: Casos de aceptación de pago con tarjeta.
Aceptación: La matriz prohíbe captura local de PAN o CVV.
Prioridad MoSCoW: Must. Dificultad: Baja. Meta: Cobro con tarjeta simulado.
Hallazgo o necesidad: No hay pruebas de tarjeta de extremo a extremo.</x:v>
      </x:c>
      <x:c r="C52" s="6" t="str">
        <x:v>dprado2024</x:v>
      </x:c>
      <x:c r="D52" s="6" t="str">
        <x:v>Facil</x:v>
      </x:c>
      <x:c r="E52" s="6" t="str">
        <x:v>Sprint 2</x:v>
      </x:c>
      <x:c r="F52" s="6" t="str">
        <x:v>Semana 6</x:v>
      </x:c>
      <x:c r="G52" s="6" t="str">
        <x:v>Testing</x:v>
      </x:c>
      <x:c r="H52" s="6" t="str">
        <x:v>Semana 6</x:v>
      </x:c>
      <x:c r="I52" s="6" t="str">
        <x:v>30m</x:v>
      </x:c>
    </x:row>
    <x:row r="53" ht="65" customHeight="1">
      <x:c r="A53" s="7" t="str">
        <x:v>Probar rechazo y timeout por HTTP</x:v>
      </x:c>
      <x:c r="B53" s="7" t="str">
        <x:v>Objetivo: Verificar respuesta, estado PENDIENTE, ausencia de Pago aprobado y ausencia de evento.
Entrega verificable: Pruebas de integración del endpoint de tarjeta.
Aceptación: La venta no se completa ante rechazo ni incertidumbre.
Prioridad MoSCoW: Must. Dificultad: Media. Meta: Cobro con tarjeta simulado.
Hallazgo o necesidad: No hay pruebas de tarjeta de extremo a extremo.</x:v>
      </x:c>
      <x:c r="C53" s="6" t="str">
        <x:v>dprado2024</x:v>
      </x:c>
      <x:c r="D53" s="6" t="str">
        <x:v>Medio</x:v>
      </x:c>
      <x:c r="E53" s="6" t="str">
        <x:v>Sprint 2</x:v>
      </x:c>
      <x:c r="F53" s="6" t="str">
        <x:v>Semana 6</x:v>
      </x:c>
      <x:c r="G53" s="6" t="str">
        <x:v>Testing</x:v>
      </x:c>
      <x:c r="H53" s="6" t="str">
        <x:v>Semana 6</x:v>
      </x:c>
      <x:c r="I53" s="6" t="str">
        <x:v>1h</x:v>
      </x:c>
    </x:row>
    <x:row r="54" ht="65" customHeight="1">
      <x:c r="A54" s="7" t="str">
        <x:v>Probar autorización e idempotencia</x:v>
      </x:c>
      <x:c r="B54" s="7" t="str">
        <x:v>Objetivo: Enviar dos veces el mismo intento y verificar un cargo y un Pago de tarjeta.
Entrega verificable: Prueba de duplicación con simulador.
Aceptación: Una clave produce una única autorización lógica.
Prioridad MoSCoW: Must. Dificultad: Media. Meta: Cobro con tarjeta simulado.
Hallazgo o necesidad: No hay pruebas de tarjeta de extremo a extremo.</x:v>
      </x:c>
      <x:c r="C54" s="6" t="str">
        <x:v>dprado2024</x:v>
      </x:c>
      <x:c r="D54" s="6" t="str">
        <x:v>Medio</x:v>
      </x:c>
      <x:c r="E54" s="6" t="str">
        <x:v>Sprint 2</x:v>
      </x:c>
      <x:c r="F54" s="6" t="str">
        <x:v>Semana 6</x:v>
      </x:c>
      <x:c r="G54" s="6" t="str">
        <x:v>Testing</x:v>
      </x:c>
      <x:c r="H54" s="6" t="str">
        <x:v>Semana 6</x:v>
      </x:c>
      <x:c r="I54" s="6" t="str">
        <x:v>1h</x:v>
      </x:c>
    </x:row>
    <x:row r="55" ht="65" customHeight="1">
      <x:c r="A55" s="7" t="str">
        <x:v>Probar aislamiento de pago</x:v>
      </x:c>
      <x:c r="B55" s="7" t="str">
        <x:v>Objetivo: Usar JWT de otro tenant y cajero sin turno para intentar pagar la venta.
Entrega verificable: Pruebas RN-01 y RN-06 del cobro.
Aceptación: No se llama al simulador ante petición no autorizada.
Prioridad MoSCoW: Must. Dificultad: Media. Meta: Cobro con tarjeta simulado.
Hallazgo o necesidad: No hay pruebas de tarjeta de extremo a extremo.</x:v>
      </x:c>
      <x:c r="C55" s="6" t="str">
        <x:v>dprado2024</x:v>
      </x:c>
      <x:c r="D55" s="6" t="str">
        <x:v>Medio</x:v>
      </x:c>
      <x:c r="E55" s="6" t="str">
        <x:v>Sprint 2</x:v>
      </x:c>
      <x:c r="F55" s="6" t="str">
        <x:v>Semana 6</x:v>
      </x:c>
      <x:c r="G55" s="6" t="str">
        <x:v>Testing</x:v>
      </x:c>
      <x:c r="H55" s="6" t="str">
        <x:v>Semana 6</x:v>
      </x:c>
      <x:c r="I55" s="6" t="str">
        <x:v>1h</x:v>
      </x:c>
    </x:row>
    <x:row r="56" ht="65" customHeight="1">
      <x:c r="A56" s="7" t="str">
        <x:v>Automatizar flujo E2E tarjeta</x:v>
      </x:c>
      <x:c r="B56" s="7" t="str">
        <x:v>Objetivo: Abrir turno, crear venta, cobrar aprobado y repetir con rechazo desde Electron.
Entrega verificable: Dos escenarios E2E con evidencias de UI.
Aceptación: Venta, Pago y evento concuerdan con cada respuesta simulada.
Prioridad MoSCoW: Must. Dificultad: Alta. Meta: Cobro con tarjeta simulado.
Hallazgo o necesidad: No hay pruebas de tarjeta de extremo a extremo.</x:v>
      </x:c>
      <x:c r="C56" s="6" t="str">
        <x:v>dprado2024</x:v>
      </x:c>
      <x:c r="D56" s="6" t="str">
        <x:v>Alta</x:v>
      </x:c>
      <x:c r="E56" s="6" t="str">
        <x:v>Sprint 2</x:v>
      </x:c>
      <x:c r="F56" s="6" t="str">
        <x:v>Semana 6</x:v>
      </x:c>
      <x:c r="G56" s="6" t="str">
        <x:v>Testing</x:v>
      </x:c>
      <x:c r="H56" s="6" t="str">
        <x:v>Semana 6</x:v>
      </x:c>
      <x:c r="I56" s="6" t="str">
        <x:v>1h30m</x:v>
      </x:c>
    </x:row>
    <x:row r="57" ht="65" customHeight="1">
      <x:c r="A57" s="7" t="str">
        <x:v>Definir configuración segura del simulador</x:v>
      </x:c>
      <x:c r="B57" s="7" t="str">
        <x:v>Objetivo: Separar URL, claves de prueba y timeouts de los valores de producción.
Entrega verificable: env.example sin secretos reales.
Aceptación: Una instalación limpia conoce todas las variables requeridas.
Prioridad MoSCoW: Must. Dificultad: Baja. Meta: Cobro con tarjeta simulado.
Hallazgo o necesidad: El simulador y sus rutas necesitan entorno reproducible.</x:v>
      </x:c>
      <x:c r="C57" s="6" t="str">
        <x:v>dleiva2024</x:v>
      </x:c>
      <x:c r="D57" s="6" t="str">
        <x:v>Facil</x:v>
      </x:c>
      <x:c r="E57" s="6" t="str">
        <x:v>Sprint 2</x:v>
      </x:c>
      <x:c r="F57" s="6" t="str">
        <x:v>Semana 6</x:v>
      </x:c>
      <x:c r="G57" s="6" t="str">
        <x:v>DevOps</x:v>
      </x:c>
      <x:c r="H57" s="6" t="str">
        <x:v>Semana 6</x:v>
      </x:c>
      <x:c r="I57" s="6" t="str">
        <x:v>30m</x:v>
      </x:c>
    </x:row>
    <x:row r="58" ht="65" customHeight="1">
      <x:c r="A58" s="7" t="str">
        <x:v>Incorporar simulador al entorno local</x:v>
      </x:c>
      <x:c r="B58" s="7" t="str">
        <x:v>Objetivo: Agregar proceso o contenedor de pasarela de pruebas y healthcheck sin requerir cuenta bancaria.
Entrega verificable: Composición reproducible del simulador.
Aceptación: El servicio arranca y responde a health de forma local.
Prioridad MoSCoW: Must. Dificultad: Media. Meta: Cobro con tarjeta simulado.
Hallazgo o necesidad: El simulador y sus rutas necesitan entorno reproducible.</x:v>
      </x:c>
      <x:c r="C58" s="6" t="str">
        <x:v>dleiva2024</x:v>
      </x:c>
      <x:c r="D58" s="6" t="str">
        <x:v>Medio</x:v>
      </x:c>
      <x:c r="E58" s="6" t="str">
        <x:v>Sprint 2</x:v>
      </x:c>
      <x:c r="F58" s="6" t="str">
        <x:v>Semana 6</x:v>
      </x:c>
      <x:c r="G58" s="6" t="str">
        <x:v>DevOps</x:v>
      </x:c>
      <x:c r="H58" s="6" t="str">
        <x:v>Semana 6</x:v>
      </x:c>
      <x:c r="I58" s="6" t="str">
        <x:v>1h</x:v>
      </x:c>
    </x:row>
    <x:row r="59" ht="65" customHeight="1">
      <x:c r="A59" s="7" t="str">
        <x:v>Exponer ruta de pagos en gateway</x:v>
      </x:c>
      <x:c r="B59" s="7" t="str">
        <x:v>Objetivo: Enrutar la llamada necesaria sin permitir que Electron envíe información sensible al simulador.
Entrega verificable: Ruta Kong y contrato de red revisados.
Aceptación: La API de MS-5 puede alcanzar el simulador desde el entorno local.
Prioridad MoSCoW: Must. Dificultad: Media. Meta: Cobro con tarjeta simulado.
Hallazgo o necesidad: El simulador y sus rutas necesitan entorno reproducible.</x:v>
      </x:c>
      <x:c r="C59" s="6" t="str">
        <x:v>dleiva2024</x:v>
      </x:c>
      <x:c r="D59" s="6" t="str">
        <x:v>Medio</x:v>
      </x:c>
      <x:c r="E59" s="6" t="str">
        <x:v>Sprint 2</x:v>
      </x:c>
      <x:c r="F59" s="6" t="str">
        <x:v>Semana 6</x:v>
      </x:c>
      <x:c r="G59" s="6" t="str">
        <x:v>DevOps</x:v>
      </x:c>
      <x:c r="H59" s="6" t="str">
        <x:v>Semana 6</x:v>
      </x:c>
      <x:c r="I59" s="6" t="str">
        <x:v>1h</x:v>
      </x:c>
    </x:row>
    <x:row r="60" ht="65" customHeight="1">
      <x:c r="A60" s="7" t="str">
        <x:v>Agregar logs de correlación de cobro</x:v>
      </x:c>
      <x:c r="B60" s="7" t="str">
        <x:v>Objetivo: Correlacionar venta, intento y respuesta con IDs opacos, excluyendo tokens y datos de tarjeta.
Entrega verificable: Logging y pauta de inspección de fallos.
Aceptación: Una prueba permite seguir un pago completo sin exponer secretos.
Prioridad MoSCoW: Should. Dificultad: Media. Meta: Cobro con tarjeta simulado.
Hallazgo o necesidad: El simulador y sus rutas necesitan entorno reproducible.</x:v>
      </x:c>
      <x:c r="C60" s="6" t="str">
        <x:v>dleiva2024</x:v>
      </x:c>
      <x:c r="D60" s="6" t="str">
        <x:v>Medio</x:v>
      </x:c>
      <x:c r="E60" s="6" t="str">
        <x:v>Sprint 2</x:v>
      </x:c>
      <x:c r="F60" s="6" t="str">
        <x:v>Semana 6</x:v>
      </x:c>
      <x:c r="G60" s="6" t="str">
        <x:v>DevOps</x:v>
      </x:c>
      <x:c r="H60" s="6" t="str">
        <x:v>Semana 6</x:v>
      </x:c>
      <x:c r="I60" s="6" t="str">
        <x:v>1h</x:v>
      </x:c>
    </x:row>
    <x:row r="61" ht="65" customHeight="1">
      <x:c r="A61" s="7" t="str">
        <x:v>Ejecutar smoke de despliegue de tarjeta</x:v>
      </x:c>
      <x:c r="B61" s="7" t="str">
        <x:v>Objetivo: Probar arranque, aprobación, rechazo y pérdida temporal del simulador.
Entrega verificable: Registro de resultados reproducible en CI o guía local.
Aceptación: Las tres situaciones terminan con estado de venta correcto.
Prioridad MoSCoW: Must. Dificultad: Alta. Meta: Cobro con tarjeta simulado.
Hallazgo o necesidad: El simulador y sus rutas necesitan entorno reproducible.</x:v>
      </x:c>
      <x:c r="C61" s="6" t="str">
        <x:v>dleiva2024</x:v>
      </x:c>
      <x:c r="D61" s="6" t="str">
        <x:v>Alta</x:v>
      </x:c>
      <x:c r="E61" s="6" t="str">
        <x:v>Sprint 2</x:v>
      </x:c>
      <x:c r="F61" s="6" t="str">
        <x:v>Semana 6</x:v>
      </x:c>
      <x:c r="G61" s="6" t="str">
        <x:v>DevOps</x:v>
      </x:c>
      <x:c r="H61" s="6" t="str">
        <x:v>Semana 6</x:v>
      </x:c>
      <x:c r="I61" s="6" t="str">
        <x:v>1h30m</x:v>
      </x:c>
    </x:row>
    <x:row r="62" ht="65" customHeight="1">
      <x:c r="A62" s="7" t="str">
        <x:v>Definir contrato de peso variable</x:v>
      </x:c>
      <x:c r="B62" s="7" t="str">
        <x:v>Objetivo: Especificar unidad base, precisión, peso mínimo y relación entre PesoKg y Cantidad para EsPesoVariable.
Entrega verificable: Contrato de ítem pesable con ejemplos válidos y rechazados.
Aceptación: Una venta no puede mezclar gramos y kilogramos sin conversión explícita.
Prioridad MoSCoW: Must. Dificultad: Baja. Meta: Balanza con simulador.
Hallazgo o necesidad: MS-5 admite PesoKg, pero debe validar cantidad y precio de productos pesables.</x:v>
      </x:c>
      <x:c r="C62" s="6" t="str">
        <x:v>spereda2024</x:v>
      </x:c>
      <x:c r="D62" s="6" t="str">
        <x:v>Facil</x:v>
      </x:c>
      <x:c r="E62" s="6" t="str">
        <x:v>Sprint 2</x:v>
      </x:c>
      <x:c r="F62" s="6" t="str">
        <x:v>Semana 7</x:v>
      </x:c>
      <x:c r="G62" s="6" t="str">
        <x:v>Backend</x:v>
      </x:c>
      <x:c r="H62" s="6" t="str">
        <x:v>Semana 7</x:v>
      </x:c>
      <x:c r="I62" s="6" t="str">
        <x:v>30m</x:v>
      </x:c>
    </x:row>
    <x:row r="63" ht="65" customHeight="1">
      <x:c r="A63" s="7" t="str">
        <x:v>Validar peso en agregar ítem</x:v>
      </x:c>
      <x:c r="B63" s="7" t="str">
        <x:v>Objetivo: Consultar EsPesoVariable del catálogo y rechazar peso cero, negativo o ausente cuando se exige.
Entrega verificable: Validación del endpoint de ítems.
Aceptación: Un peso inválido no cambia carrito ni total.
Prioridad MoSCoW: Must. Dificultad: Media. Meta: Balanza con simulador.
Hallazgo o necesidad: MS-5 admite PesoKg, pero debe validar cantidad y precio de productos pesables.</x:v>
      </x:c>
      <x:c r="C63" s="6" t="str">
        <x:v>spereda2024</x:v>
      </x:c>
      <x:c r="D63" s="6" t="str">
        <x:v>Medio</x:v>
      </x:c>
      <x:c r="E63" s="6" t="str">
        <x:v>Sprint 2</x:v>
      </x:c>
      <x:c r="F63" s="6" t="str">
        <x:v>Semana 7</x:v>
      </x:c>
      <x:c r="G63" s="6" t="str">
        <x:v>Backend</x:v>
      </x:c>
      <x:c r="H63" s="6" t="str">
        <x:v>Semana 7</x:v>
      </x:c>
      <x:c r="I63" s="6" t="str">
        <x:v>1h</x:v>
      </x:c>
    </x:row>
    <x:row r="64" ht="65" customHeight="1">
      <x:c r="A64" s="7" t="str">
        <x:v>Calcular total pesable en servidor</x:v>
      </x:c>
      <x:c r="B64" s="7" t="str">
        <x:v>Objetivo: Usar precio por kilogramo de MS-3 y peso validado para subtotal e IVA.
Entrega verificable: Cálculo de ítem y venta sin confiar en precio del renderer.
Aceptación: Un peso de prueba produce subtotal e impuestos reproducibles.
Prioridad MoSCoW: Must. Dificultad: Media. Meta: Balanza con simulador.
Hallazgo o necesidad: MS-5 admite PesoKg, pero debe validar cantidad y precio de productos pesables.</x:v>
      </x:c>
      <x:c r="C64" s="6" t="str">
        <x:v>spereda2024</x:v>
      </x:c>
      <x:c r="D64" s="6" t="str">
        <x:v>Medio</x:v>
      </x:c>
      <x:c r="E64" s="6" t="str">
        <x:v>Sprint 2</x:v>
      </x:c>
      <x:c r="F64" s="6" t="str">
        <x:v>Semana 7</x:v>
      </x:c>
      <x:c r="G64" s="6" t="str">
        <x:v>Backend</x:v>
      </x:c>
      <x:c r="H64" s="6" t="str">
        <x:v>Semana 7</x:v>
      </x:c>
      <x:c r="I64" s="6" t="str">
        <x:v>1h</x:v>
      </x:c>
    </x:row>
    <x:row r="65" ht="65" customHeight="1">
      <x:c r="A65" s="7" t="str">
        <x:v>Actualizar cantidad pesable con recálculo</x:v>
      </x:c>
      <x:c r="B65" s="7" t="str">
        <x:v>Objetivo: Permitir modificar PesoKg y recalcular por MS-2 sin alterar la unidad de un producto unitario.
Entrega verificable: PUT de ítem con reglas separadas por tipo de producto.
Aceptación: El total cambia solo según el peso aceptado por servidor.
Prioridad MoSCoW: Must. Dificultad: Media. Meta: Balanza con simulador.
Hallazgo o necesidad: MS-5 admite PesoKg, pero debe validar cantidad y precio de productos pesables.</x:v>
      </x:c>
      <x:c r="C65" s="6" t="str">
        <x:v>spereda2024</x:v>
      </x:c>
      <x:c r="D65" s="6" t="str">
        <x:v>Medio</x:v>
      </x:c>
      <x:c r="E65" s="6" t="str">
        <x:v>Sprint 2</x:v>
      </x:c>
      <x:c r="F65" s="6" t="str">
        <x:v>Semana 7</x:v>
      </x:c>
      <x:c r="G65" s="6" t="str">
        <x:v>Backend</x:v>
      </x:c>
      <x:c r="H65" s="6" t="str">
        <x:v>Semana 7</x:v>
      </x:c>
      <x:c r="I65" s="6" t="str">
        <x:v>1h</x:v>
      </x:c>
    </x:row>
    <x:row r="66" ht="65" customHeight="1">
      <x:c r="A66" s="7" t="str">
        <x:v>Probar fronteras de peso y tenant</x:v>
      </x:c>
      <x:c r="B66" s="7" t="str">
        <x:v>Objetivo: Cubrir cero, negativo, redondeo, unidad incorrecta y producto de otro tenant.
Entrega verificable: Pruebas de integración de productos pesables.
Aceptación: Las respuestas y montos coinciden con contrato en todos los bordes.
Prioridad MoSCoW: Must. Dificultad: Alta. Meta: Balanza con simulador.
Hallazgo o necesidad: MS-5 admite PesoKg, pero debe validar cantidad y precio de productos pesables.</x:v>
      </x:c>
      <x:c r="C66" s="6" t="str">
        <x:v>spereda2024</x:v>
      </x:c>
      <x:c r="D66" s="6" t="str">
        <x:v>Alta</x:v>
      </x:c>
      <x:c r="E66" s="6" t="str">
        <x:v>Sprint 2</x:v>
      </x:c>
      <x:c r="F66" s="6" t="str">
        <x:v>Semana 7</x:v>
      </x:c>
      <x:c r="G66" s="6" t="str">
        <x:v>Backend</x:v>
      </x:c>
      <x:c r="H66" s="6" t="str">
        <x:v>Semana 7</x:v>
      </x:c>
      <x:c r="I66" s="6" t="str">
        <x:v>1h30m</x:v>
      </x:c>
    </x:row>
    <x:row r="67" ht="65" customHeight="1">
      <x:c r="A67" s="7" t="str">
        <x:v>Definir interfaz de balanza</x:v>
      </x:c>
      <x:c r="B67" s="7" t="str">
        <x:v>Objetivo: Precisar conectar, desconectar, leer peso estable, estado y error para hardware futuro y simulador.
Entrega verificable: Contrato TypeScript tipado y estados de lectura.
Aceptación: El renderer nunca accede directamente al puerto serial.
Prioridad MoSCoW: Must. Dificultad: Baja. Meta: Balanza con simulador.
Hallazgo o necesidad: Electron no expone API de balanza ni hay dispositivo disponible.</x:v>
      </x:c>
      <x:c r="C67" s="6" t="str">
        <x:v>nmartinez2024</x:v>
      </x:c>
      <x:c r="D67" s="6" t="str">
        <x:v>Facil</x:v>
      </x:c>
      <x:c r="E67" s="6" t="str">
        <x:v>Sprint 2</x:v>
      </x:c>
      <x:c r="F67" s="6" t="str">
        <x:v>Semana 7</x:v>
      </x:c>
      <x:c r="G67" s="6" t="str">
        <x:v>Frontend</x:v>
      </x:c>
      <x:c r="H67" s="6" t="str">
        <x:v>Semana 7</x:v>
      </x:c>
      <x:c r="I67" s="6" t="str">
        <x:v>30m</x:v>
      </x:c>
    </x:row>
    <x:row r="68" ht="65" customHeight="1">
      <x:c r="A68" s="7" t="str">
        <x:v>Implementar adaptador de balanza simulada</x:v>
      </x:c>
      <x:c r="B68" s="7" t="str">
        <x:v>Objetivo: Proveer pesos de prueba y errores controlados con la misma interfaz del dispositivo real.
Entrega verificable: Adaptador mock seleccionable por configuración.
Aceptación: La UI recibe peso estable, desconexión y error sin hardware.
Prioridad MoSCoW: Must. Dificultad: Media. Meta: Balanza con simulador.
Hallazgo o necesidad: Electron no expone API de balanza ni hay dispositivo disponible.</x:v>
      </x:c>
      <x:c r="C68" s="6" t="str">
        <x:v>nmartinez2024</x:v>
      </x:c>
      <x:c r="D68" s="6" t="str">
        <x:v>Medio</x:v>
      </x:c>
      <x:c r="E68" s="6" t="str">
        <x:v>Sprint 2</x:v>
      </x:c>
      <x:c r="F68" s="6" t="str">
        <x:v>Semana 7</x:v>
      </x:c>
      <x:c r="G68" s="6" t="str">
        <x:v>Frontend</x:v>
      </x:c>
      <x:c r="H68" s="6" t="str">
        <x:v>Semana 7</x:v>
      </x:c>
      <x:c r="I68" s="6" t="str">
        <x:v>1h</x:v>
      </x:c>
    </x:row>
    <x:row r="69" ht="65" customHeight="1">
      <x:c r="A69" s="7" t="str">
        <x:v>Exponer IPC mínimo y validado</x:v>
      </x:c>
      <x:c r="B69" s="7" t="str">
        <x:v>Objetivo: Agregar handlers en main y preload solo para las operaciones de balanza autorizadas.
Entrega verificable: API contextBridge tipada y whitelist de canales.
Aceptación: Un renderer no puede invocar puertos arbitrarios ni enviar comandos seriales.
Prioridad MoSCoW: Must. Dificultad: Media. Meta: Balanza con simulador.
Hallazgo o necesidad: Electron no expone API de balanza ni hay dispositivo disponible.</x:v>
      </x:c>
      <x:c r="C69" s="6" t="str">
        <x:v>nmartinez2024</x:v>
      </x:c>
      <x:c r="D69" s="6" t="str">
        <x:v>Medio</x:v>
      </x:c>
      <x:c r="E69" s="6" t="str">
        <x:v>Sprint 2</x:v>
      </x:c>
      <x:c r="F69" s="6" t="str">
        <x:v>Semana 7</x:v>
      </x:c>
      <x:c r="G69" s="6" t="str">
        <x:v>Frontend</x:v>
      </x:c>
      <x:c r="H69" s="6" t="str">
        <x:v>Semana 7</x:v>
      </x:c>
      <x:c r="I69" s="6" t="str">
        <x:v>1h</x:v>
      </x:c>
    </x:row>
    <x:row r="70" ht="65" customHeight="1">
      <x:c r="A70" s="7" t="str">
        <x:v>Preparar adaptador serial intercambiable</x:v>
      </x:c>
      <x:c r="B70" s="7" t="str">
        <x:v>Objetivo: Aislar configuración de puerto, baud rate y parser detrás de la interfaz sin afirmar compatibilidad con un modelo desconocido.
Entrega verificable: Adaptador serial documentado y deshabilitado por defecto.
Aceptación: Cambiar mock a serial no requiere cambiar componentes React.
Prioridad MoSCoW: Could. Dificultad: Media. Meta: Balanza con simulador.
Hallazgo o necesidad: Electron no expone API de balanza ni hay dispositivo disponible.</x:v>
      </x:c>
      <x:c r="C70" s="6" t="str">
        <x:v>nmartinez2024</x:v>
      </x:c>
      <x:c r="D70" s="6" t="str">
        <x:v>Medio</x:v>
      </x:c>
      <x:c r="E70" s="6" t="str">
        <x:v>Sprint 2</x:v>
      </x:c>
      <x:c r="F70" s="6" t="str">
        <x:v>Semana 7</x:v>
      </x:c>
      <x:c r="G70" s="6" t="str">
        <x:v>Frontend</x:v>
      </x:c>
      <x:c r="H70" s="6" t="str">
        <x:v>Semana 7</x:v>
      </x:c>
      <x:c r="I70" s="6" t="str">
        <x:v>1h</x:v>
      </x:c>
    </x:row>
    <x:row r="71" ht="65" customHeight="1">
      <x:c r="A71" s="7" t="str">
        <x:v>Probar IPC y estados simulados</x:v>
      </x:c>
      <x:c r="B71" s="7" t="str">
        <x:v>Objetivo: Cubrir lectura válida, dato corrupto, desconexión y reconexión del adaptador.
Entrega verificable: Pruebas de main/preload con simulador.
Aceptación: Solo peso estable y positivo llega al carrito.
Prioridad MoSCoW: Must. Dificultad: Alta. Meta: Balanza con simulador.
Hallazgo o necesidad: Electron no expone API de balanza ni hay dispositivo disponible.</x:v>
      </x:c>
      <x:c r="C71" s="6" t="str">
        <x:v>nmartinez2024</x:v>
      </x:c>
      <x:c r="D71" s="6" t="str">
        <x:v>Alta</x:v>
      </x:c>
      <x:c r="E71" s="6" t="str">
        <x:v>Sprint 2</x:v>
      </x:c>
      <x:c r="F71" s="6" t="str">
        <x:v>Semana 7</x:v>
      </x:c>
      <x:c r="G71" s="6" t="str">
        <x:v>Frontend</x:v>
      </x:c>
      <x:c r="H71" s="6" t="str">
        <x:v>Semana 7</x:v>
      </x:c>
      <x:c r="I71" s="6" t="str">
        <x:v>1h30m</x:v>
      </x:c>
    </x:row>
    <x:row r="72" ht="65" customHeight="1">
      <x:c r="A72" s="7" t="str">
        <x:v>Definir contrato del terminal de pago</x:v>
      </x:c>
      <x:c r="B72" s="7" t="str">
        <x:v>Objetivo: Separar iniciar cobro, consultar estado y cancelar intento; usar monto, ventaId y referencia opaca, nunca PAN ni CVV.
Entrega verificable: Interfaz tipada TerminalPort y máquina de estados.
Aceptación: El terminal solicita autorización mediante la pasarela simulada y no almacena datos de tarjeta.
Prioridad MoSCoW: Must. Dificultad: Baja. Meta: Terminal POS con simulador.
Hallazgo o necesidad: Electron no dispone de adaptador para un terminal físico de pago.</x:v>
      </x:c>
      <x:c r="C72" s="6" t="str">
        <x:v>msanhueza2024</x:v>
      </x:c>
      <x:c r="D72" s="6" t="str">
        <x:v>Facil</x:v>
      </x:c>
      <x:c r="E72" s="6" t="str">
        <x:v>Sprint 2</x:v>
      </x:c>
      <x:c r="F72" s="6" t="str">
        <x:v>Semana 7</x:v>
      </x:c>
      <x:c r="G72" s="6" t="str">
        <x:v>Frontend</x:v>
      </x:c>
      <x:c r="H72" s="6" t="str">
        <x:v>Semana 7</x:v>
      </x:c>
      <x:c r="I72" s="6" t="str">
        <x:v>30m</x:v>
      </x:c>
    </x:row>
    <x:row r="73" ht="65" customHeight="1">
      <x:c r="A73" s="7" t="str">
        <x:v>Crear simulador de terminal POS</x:v>
      </x:c>
      <x:c r="B73" s="7" t="str">
        <x:v>Objetivo: Reproducir lectura, espera, aprobación, rechazo, cancelación y pérdida de conexión con resultados deterministas.
Entrega verificable: Adaptador de terminal simulado seleccionable por configuración.
Aceptación: Cada escenario se puede ejecutar sin equipo físico.
Prioridad MoSCoW: Must. Dificultad: Media. Meta: Terminal POS con simulador.
Hallazgo o necesidad: Electron no dispone de adaptador para un terminal físico de pago.</x:v>
      </x:c>
      <x:c r="C73" s="6" t="str">
        <x:v>msanhueza2024</x:v>
      </x:c>
      <x:c r="D73" s="6" t="str">
        <x:v>Medio</x:v>
      </x:c>
      <x:c r="E73" s="6" t="str">
        <x:v>Sprint 2</x:v>
      </x:c>
      <x:c r="F73" s="6" t="str">
        <x:v>Semana 7</x:v>
      </x:c>
      <x:c r="G73" s="6" t="str">
        <x:v>Frontend</x:v>
      </x:c>
      <x:c r="H73" s="6" t="str">
        <x:v>Semana 7</x:v>
      </x:c>
      <x:c r="I73" s="6" t="str">
        <x:v>1h</x:v>
      </x:c>
    </x:row>
    <x:row r="74" ht="65" customHeight="1">
      <x:c r="A74" s="7" t="str">
        <x:v>Exponer IPC limitado del terminal</x:v>
      </x:c>
      <x:c r="B74" s="7" t="str">
        <x:v>Objetivo: Agregar handlers en main y preload para iniciar y consultar un intento, validando argumentos y canal permitido.
Entrega verificable: API contextBridge tipada para TerminalPort.
Aceptación: El renderer no invoca comandos arbitrarios de hardware ni recibe datos sensibles.
Prioridad MoSCoW: Must. Dificultad: Media. Meta: Terminal POS con simulador.
Hallazgo o necesidad: Electron no dispone de adaptador para un terminal físico de pago.</x:v>
      </x:c>
      <x:c r="C74" s="6" t="str">
        <x:v>msanhueza2024</x:v>
      </x:c>
      <x:c r="D74" s="6" t="str">
        <x:v>Medio</x:v>
      </x:c>
      <x:c r="E74" s="6" t="str">
        <x:v>Sprint 2</x:v>
      </x:c>
      <x:c r="F74" s="6" t="str">
        <x:v>Semana 7</x:v>
      </x:c>
      <x:c r="G74" s="6" t="str">
        <x:v>Frontend</x:v>
      </x:c>
      <x:c r="H74" s="6" t="str">
        <x:v>Semana 7</x:v>
      </x:c>
      <x:c r="I74" s="6" t="str">
        <x:v>1h</x:v>
      </x:c>
    </x:row>
    <x:row r="75" ht="65" customHeight="1">
      <x:c r="A75" s="7" t="str">
        <x:v>Sincronizar estado con la pasarela</x:v>
      </x:c>
      <x:c r="B75" s="7" t="str">
        <x:v>Objetivo: Vincular resultado del terminal simulado a la autorización del gateway por la misma clave de idempotencia.
Entrega verificable: Secuencia terminal, MS-5 y pasarela con una referencia común.
Aceptación: Una aprobación de terminal sin confirmación de MS-5 no muestra venta cobrada.
Prioridad MoSCoW: Must. Dificultad: Media. Meta: Terminal POS con simulador.
Hallazgo o necesidad: Electron no dispone de adaptador para un terminal físico de pago.</x:v>
      </x:c>
      <x:c r="C75" s="6" t="str">
        <x:v>msanhueza2024</x:v>
      </x:c>
      <x:c r="D75" s="6" t="str">
        <x:v>Medio</x:v>
      </x:c>
      <x:c r="E75" s="6" t="str">
        <x:v>Sprint 2</x:v>
      </x:c>
      <x:c r="F75" s="6" t="str">
        <x:v>Semana 7</x:v>
      </x:c>
      <x:c r="G75" s="6" t="str">
        <x:v>Frontend</x:v>
      </x:c>
      <x:c r="H75" s="6" t="str">
        <x:v>Semana 7</x:v>
      </x:c>
      <x:c r="I75" s="6" t="str">
        <x:v>1h</x:v>
      </x:c>
    </x:row>
    <x:row r="76" ht="65" customHeight="1">
      <x:c r="A76" s="7" t="str">
        <x:v>Probar estados del terminal simulado</x:v>
      </x:c>
      <x:c r="B76" s="7" t="str">
        <x:v>Objetivo: Cubrir aprobado, rechazado, timeout, desconexión y doble clic sobre iniciar cobro.
Entrega verificable: Pruebas del adaptador, IPC y máquina de estados.
Aceptación: Cada intento conserva una clave y no crea dos cargos lógicos.
Prioridad MoSCoW: Must. Dificultad: Alta. Meta: Terminal POS con simulador.
Hallazgo o necesidad: Electron no dispone de adaptador para un terminal físico de pago.</x:v>
      </x:c>
      <x:c r="C76" s="6" t="str">
        <x:v>msanhueza2024</x:v>
      </x:c>
      <x:c r="D76" s="6" t="str">
        <x:v>Alta</x:v>
      </x:c>
      <x:c r="E76" s="6" t="str">
        <x:v>Sprint 2</x:v>
      </x:c>
      <x:c r="F76" s="6" t="str">
        <x:v>Semana 7</x:v>
      </x:c>
      <x:c r="G76" s="6" t="str">
        <x:v>Frontend</x:v>
      </x:c>
      <x:c r="H76" s="6" t="str">
        <x:v>Semana 7</x:v>
      </x:c>
      <x:c r="I76" s="6" t="str">
        <x:v>1h30m</x:v>
      </x:c>
    </x:row>
    <x:row r="77" ht="65" customHeight="1">
      <x:c r="A77" s="7" t="str">
        <x:v>Diseñar estado de captura de peso</x:v>
      </x:c>
      <x:c r="B77" s="7" t="str">
        <x:v>Objetivo: Mostrar origen simulado/manual, unidad kg, estabilidad y error junto al producto pesable.
Entrega verificable: Componente PesoProducto con estados definidos.
Aceptación: Un producto unitario no muestra controles de balanza.
Prioridad MoSCoW: Must. Dificultad: Baja. Meta: Balanza con simulador.
Hallazgo o necesidad: POS no ofrece captura de peso para productos variables.</x:v>
      </x:c>
      <x:c r="C77" s="6" t="str">
        <x:v>admin</x:v>
      </x:c>
      <x:c r="D77" s="6" t="str">
        <x:v>Facil</x:v>
      </x:c>
      <x:c r="E77" s="6" t="str">
        <x:v>Sprint 2</x:v>
      </x:c>
      <x:c r="F77" s="6" t="str">
        <x:v>Semana 7</x:v>
      </x:c>
      <x:c r="G77" s="6" t="str">
        <x:v>Frontend</x:v>
      </x:c>
      <x:c r="H77" s="6" t="str">
        <x:v>Semana 7</x:v>
      </x:c>
      <x:c r="I77" s="6" t="str">
        <x:v>30m</x:v>
      </x:c>
    </x:row>
    <x:row r="78" ht="65" customHeight="1">
      <x:c r="A78" s="7" t="str">
        <x:v>Conectar lectura simulada al carrito</x:v>
      </x:c>
      <x:c r="B78" s="7" t="str">
        <x:v>Objetivo: Solicitar peso estable por preload y permitir confirmarlo antes de enviar el ítem a MS-5.
Entrega verificable: Flujo de escaneo a pesaje y agregado.
Aceptación: El peso confirmado coincide con VentaResponse.
Prioridad MoSCoW: Must. Dificultad: Media. Meta: Balanza con simulador.
Hallazgo o necesidad: POS no ofrece captura de peso para productos variables.</x:v>
      </x:c>
      <x:c r="C78" s="6" t="str">
        <x:v>admin</x:v>
      </x:c>
      <x:c r="D78" s="6" t="str">
        <x:v>Medio</x:v>
      </x:c>
      <x:c r="E78" s="6" t="str">
        <x:v>Sprint 2</x:v>
      </x:c>
      <x:c r="F78" s="6" t="str">
        <x:v>Semana 7</x:v>
      </x:c>
      <x:c r="G78" s="6" t="str">
        <x:v>Frontend</x:v>
      </x:c>
      <x:c r="H78" s="6" t="str">
        <x:v>Semana 7</x:v>
      </x:c>
      <x:c r="I78" s="6" t="str">
        <x:v>1h</x:v>
      </x:c>
    </x:row>
    <x:row r="79" ht="65" customHeight="1">
      <x:c r="A79" s="7" t="str">
        <x:v>Implementar ingreso manual de respaldo</x:v>
      </x:c>
      <x:c r="B79" s="7" t="str">
        <x:v>Objetivo: Permitir digitar peso cuando el simulador o dispositivo está desconectado, con validación equivalente.
Entrega verificable: Control manual identificado como tal.
Aceptación: Peso cero, negativo o no numérico no se envía.
Prioridad MoSCoW: Must. Dificultad: Media. Meta: Balanza con simulador.
Hallazgo o necesidad: POS no ofrece captura de peso para productos variables.</x:v>
      </x:c>
      <x:c r="C79" s="6" t="str">
        <x:v>admin</x:v>
      </x:c>
      <x:c r="D79" s="6" t="str">
        <x:v>Medio</x:v>
      </x:c>
      <x:c r="E79" s="6" t="str">
        <x:v>Sprint 2</x:v>
      </x:c>
      <x:c r="F79" s="6" t="str">
        <x:v>Semana 7</x:v>
      </x:c>
      <x:c r="G79" s="6" t="str">
        <x:v>Frontend</x:v>
      </x:c>
      <x:c r="H79" s="6" t="str">
        <x:v>Semana 7</x:v>
      </x:c>
      <x:c r="I79" s="6" t="str">
        <x:v>1h</x:v>
      </x:c>
    </x:row>
    <x:row r="80" ht="65" customHeight="1">
      <x:c r="A80" s="7" t="str">
        <x:v>Mostrar precio e IVA del servidor</x:v>
      </x:c>
      <x:c r="B80" s="7" t="str">
        <x:v>Objetivo: Actualizar vista pesable con subtotal y total retornados por la venta.
Entrega verificable: CartItem pesable con unidad y precio por kg claros.
Aceptación: No se usa tasa local fija de IVA para mostrar el total.
Prioridad MoSCoW: Must. Dificultad: Media. Meta: Balanza con simulador.
Hallazgo o necesidad: POS no ofrece captura de peso para productos variables.</x:v>
      </x:c>
      <x:c r="C80" s="6" t="str">
        <x:v>admin</x:v>
      </x:c>
      <x:c r="D80" s="6" t="str">
        <x:v>Medio</x:v>
      </x:c>
      <x:c r="E80" s="6" t="str">
        <x:v>Sprint 2</x:v>
      </x:c>
      <x:c r="F80" s="6" t="str">
        <x:v>Semana 7</x:v>
      </x:c>
      <x:c r="G80" s="6" t="str">
        <x:v>Frontend</x:v>
      </x:c>
      <x:c r="H80" s="6" t="str">
        <x:v>Semana 7</x:v>
      </x:c>
      <x:c r="I80" s="6" t="str">
        <x:v>1h</x:v>
      </x:c>
    </x:row>
    <x:row r="81" ht="65" customHeight="1">
      <x:c r="A81" s="7" t="str">
        <x:v>Probar UX de balanza y respaldo</x:v>
      </x:c>
      <x:c r="B81" s="7" t="str">
        <x:v>Objetivo: Recorrer lectura estable, desconexión, entrada manual y modificación del peso.
Entrega verificable: Pruebas de componente o E2E del flujo pesable.
Aceptación: Cada ruta deja una cantidad correcta y una sola línea de carrito.
Prioridad MoSCoW: Must. Dificultad: Alta. Meta: Balanza con simulador.
Hallazgo o necesidad: POS no ofrece captura de peso para productos variables.</x:v>
      </x:c>
      <x:c r="C81" s="6" t="str">
        <x:v>admin</x:v>
      </x:c>
      <x:c r="D81" s="6" t="str">
        <x:v>Alta</x:v>
      </x:c>
      <x:c r="E81" s="6" t="str">
        <x:v>Sprint 2</x:v>
      </x:c>
      <x:c r="F81" s="6" t="str">
        <x:v>Semana 7</x:v>
      </x:c>
      <x:c r="G81" s="6" t="str">
        <x:v>Frontend</x:v>
      </x:c>
      <x:c r="H81" s="6" t="str">
        <x:v>Semana 7</x:v>
      </x:c>
      <x:c r="I81" s="6" t="str">
        <x:v>1h30m</x:v>
      </x:c>
    </x:row>
    <x:row r="82" ht="65" customHeight="1">
      <x:c r="A82" s="7" t="str">
        <x:v>Separar pruebas simuladas y físicas</x:v>
      </x:c>
      <x:c r="B82" s="7" t="str">
        <x:v>Objetivo: Definir qué puede certificarse en Sprint 2 y qué exige modelo, protocolo y dispositivo prestado.
Entrega verificable: Plan de validación con condición física explícita.
Aceptación: El informe no declara integración física completada por pruebas de mock.
Prioridad MoSCoW: Must. Dificultad: Baja. Meta: Balanza con simulador.
Hallazgo o necesidad: La validación física no es posible sin balanza ni protocolo.</x:v>
      </x:c>
      <x:c r="C82" s="6" t="str">
        <x:v>dprado2024</x:v>
      </x:c>
      <x:c r="D82" s="6" t="str">
        <x:v>Facil</x:v>
      </x:c>
      <x:c r="E82" s="6" t="str">
        <x:v>Sprint 2</x:v>
      </x:c>
      <x:c r="F82" s="6" t="str">
        <x:v>Semana 7</x:v>
      </x:c>
      <x:c r="G82" s="6" t="str">
        <x:v>Testing</x:v>
      </x:c>
      <x:c r="H82" s="6" t="str">
        <x:v>Semana 7</x:v>
      </x:c>
      <x:c r="I82" s="6" t="str">
        <x:v>30m</x:v>
      </x:c>
    </x:row>
    <x:row r="83" ht="65" customHeight="1">
      <x:c r="A83" s="7" t="str">
        <x:v>Probar parser y redondeo de peso</x:v>
      </x:c>
      <x:c r="B83" s="7" t="str">
        <x:v>Objetivo: Cubrir formatos de lectura del simulador, estabilidad, decimales y datos inválidos.
Entrega verificable: Casos unitarios del adaptador y del cálculo.
Aceptación: Los valores fuera de rango se rechazan antes de llamar MS-5.
Prioridad MoSCoW: Must. Dificultad: Media. Meta: Balanza con simulador.
Hallazgo o necesidad: La validación física no es posible sin balanza ni protocolo.</x:v>
      </x:c>
      <x:c r="C83" s="6" t="str">
        <x:v>dprado2024</x:v>
      </x:c>
      <x:c r="D83" s="6" t="str">
        <x:v>Medio</x:v>
      </x:c>
      <x:c r="E83" s="6" t="str">
        <x:v>Sprint 2</x:v>
      </x:c>
      <x:c r="F83" s="6" t="str">
        <x:v>Semana 7</x:v>
      </x:c>
      <x:c r="G83" s="6" t="str">
        <x:v>Testing</x:v>
      </x:c>
      <x:c r="H83" s="6" t="str">
        <x:v>Semana 7</x:v>
      </x:c>
      <x:c r="I83" s="6" t="str">
        <x:v>1h</x:v>
      </x:c>
    </x:row>
    <x:row r="84" ht="65" customHeight="1">
      <x:c r="A84" s="7" t="str">
        <x:v>Probar caída de balanza y modo manual</x:v>
      </x:c>
      <x:c r="B84" s="7" t="str">
        <x:v>Objetivo: Simular desconexión en medio del carrito y continuar con peso manual autorizado.
Entrega verificable: E2E de fallback de pesaje.
Aceptación: No se pierde ni duplica el ítem cuando cambia el origen del peso.
Prioridad MoSCoW: Must. Dificultad: Media. Meta: Balanza con simulador.
Hallazgo o necesidad: La validación física no es posible sin balanza ni protocolo.</x:v>
      </x:c>
      <x:c r="C84" s="6" t="str">
        <x:v>dprado2024</x:v>
      </x:c>
      <x:c r="D84" s="6" t="str">
        <x:v>Medio</x:v>
      </x:c>
      <x:c r="E84" s="6" t="str">
        <x:v>Sprint 2</x:v>
      </x:c>
      <x:c r="F84" s="6" t="str">
        <x:v>Semana 7</x:v>
      </x:c>
      <x:c r="G84" s="6" t="str">
        <x:v>Testing</x:v>
      </x:c>
      <x:c r="H84" s="6" t="str">
        <x:v>Semana 7</x:v>
      </x:c>
      <x:c r="I84" s="6" t="str">
        <x:v>1h</x:v>
      </x:c>
    </x:row>
    <x:row r="85" ht="65" customHeight="1">
      <x:c r="A85" s="7" t="str">
        <x:v>Probar cálculo pesable entre servicios</x:v>
      </x:c>
      <x:c r="B85" s="7" t="str">
        <x:v>Objetivo: Comparar precio por kg de MS-3, subtotal de MS-5 y desglose IVA de MS-2.
Entrega verificable: Prueba de integración con cifras deterministas.
Aceptación: El total del renderer coincide con el backend.
Prioridad MoSCoW: Must. Dificultad: Media. Meta: Balanza con simulador.
Hallazgo o necesidad: La validación física no es posible sin balanza ni protocolo.</x:v>
      </x:c>
      <x:c r="C85" s="6" t="str">
        <x:v>dprado2024</x:v>
      </x:c>
      <x:c r="D85" s="6" t="str">
        <x:v>Medio</x:v>
      </x:c>
      <x:c r="E85" s="6" t="str">
        <x:v>Sprint 2</x:v>
      </x:c>
      <x:c r="F85" s="6" t="str">
        <x:v>Semana 7</x:v>
      </x:c>
      <x:c r="G85" s="6" t="str">
        <x:v>Testing</x:v>
      </x:c>
      <x:c r="H85" s="6" t="str">
        <x:v>Semana 7</x:v>
      </x:c>
      <x:c r="I85" s="6" t="str">
        <x:v>1h</x:v>
      </x:c>
    </x:row>
    <x:row r="86" ht="65" customHeight="1">
      <x:c r="A86" s="7" t="str">
        <x:v>Preparar protocolo de prueba física</x:v>
      </x:c>
      <x:c r="B86" s="7" t="str">
        <x:v>Objetivo: Documentar identificación de puerto, comandos, estabilidad, tolerancia y evidencia a capturar cuando llegue el equipo.
Entrega verificable: Checklist ejecutable pendiente de modelo real.
Aceptación: La tarea física queda marcada condicionada, con criterios medibles.
Prioridad MoSCoW: Should. Dificultad: Alta. Meta: Balanza con simulador.
Hallazgo o necesidad: La validación física no es posible sin balanza ni protocolo.</x:v>
      </x:c>
      <x:c r="C86" s="6" t="str">
        <x:v>dprado2024</x:v>
      </x:c>
      <x:c r="D86" s="6" t="str">
        <x:v>Alta</x:v>
      </x:c>
      <x:c r="E86" s="6" t="str">
        <x:v>Sprint 2</x:v>
      </x:c>
      <x:c r="F86" s="6" t="str">
        <x:v>Semana 7</x:v>
      </x:c>
      <x:c r="G86" s="6" t="str">
        <x:v>Testing</x:v>
      </x:c>
      <x:c r="H86" s="6" t="str">
        <x:v>Semana 7</x:v>
      </x:c>
      <x:c r="I86" s="6" t="str">
        <x:v>1h30m</x:v>
      </x:c>
    </x:row>
    <x:row r="87" ht="65" customHeight="1">
      <x:c r="A87" s="7" t="str">
        <x:v>Definir límites del terminal simulado</x:v>
      </x:c>
      <x:c r="B87" s="7" t="str">
        <x:v>Objetivo: Registrar operaciones simuladas de inicio, estado, cancelación y autorización, separadas de la pasarela.
Entrega verificable: Matriz de contrato, dependencia y evidencia pendiente.
Aceptación: No se declara compatibilidad con marcas ni lectores de tarjeta no probados.
Prioridad MoSCoW: Must. Dificultad: Baja. Meta: Terminal POS con simulador.
Hallazgo o necesidad: No hay terminal de pago ni protocolo físico; se requiere simulador desacoplado.</x:v>
      </x:c>
      <x:c r="C87" s="6" t="str">
        <x:v>dleiva2024</x:v>
      </x:c>
      <x:c r="D87" s="6" t="str">
        <x:v>Facil</x:v>
      </x:c>
      <x:c r="E87" s="6" t="str">
        <x:v>Sprint 2</x:v>
      </x:c>
      <x:c r="F87" s="6" t="str">
        <x:v>Semana 7</x:v>
      </x:c>
      <x:c r="G87" s="6" t="str">
        <x:v>DevOps</x:v>
      </x:c>
      <x:c r="H87" s="6" t="str">
        <x:v>Semana 7</x:v>
      </x:c>
      <x:c r="I87" s="6" t="str">
        <x:v>30m</x:v>
      </x:c>
    </x:row>
    <x:row r="88" ht="65" customHeight="1">
      <x:c r="A88" s="7" t="str">
        <x:v>Preparar configuración de adaptadores</x:v>
      </x:c>
      <x:c r="B88" s="7" t="str">
        <x:v>Objetivo: Permitir seleccionar terminal mock por configuración de Electron; reservar proveedor real sin activar rutas desconocidas.
Entrega verificable: Configuración y ejemplo de desarrollo.
Aceptación: El modo mock arranca sin controladores ni permisos de hardware.
Prioridad MoSCoW: Must. Dificultad: Media. Meta: Terminal POS con simulador.
Hallazgo o necesidad: No hay terminal de pago ni protocolo físico; se requiere simulador desacoplado.</x:v>
      </x:c>
      <x:c r="C88" s="6" t="str">
        <x:v>dleiva2024</x:v>
      </x:c>
      <x:c r="D88" s="6" t="str">
        <x:v>Medio</x:v>
      </x:c>
      <x:c r="E88" s="6" t="str">
        <x:v>Sprint 2</x:v>
      </x:c>
      <x:c r="F88" s="6" t="str">
        <x:v>Semana 7</x:v>
      </x:c>
      <x:c r="G88" s="6" t="str">
        <x:v>DevOps</x:v>
      </x:c>
      <x:c r="H88" s="6" t="str">
        <x:v>Semana 7</x:v>
      </x:c>
      <x:c r="I88" s="6" t="str">
        <x:v>1h</x:v>
      </x:c>
    </x:row>
    <x:row r="89" ht="65" customHeight="1">
      <x:c r="A89" s="7" t="str">
        <x:v>Validar seguridad de IPC</x:v>
      </x:c>
      <x:c r="B89" s="7" t="str">
        <x:v>Objetivo: Revisar contextIsolation, preload y validación de argumentos para canales nuevos de dispositivos.
Entrega verificable: Revisión y correcciones de IPC.
Aceptación: No hay API genérica de ejecución o acceso serial en renderer.
Prioridad MoSCoW: Must. Dificultad: Media. Meta: Terminal POS con simulador.
Hallazgo o necesidad: No hay terminal de pago ni protocolo físico; se requiere simulador desacoplado.</x:v>
      </x:c>
      <x:c r="C89" s="6" t="str">
        <x:v>dleiva2024</x:v>
      </x:c>
      <x:c r="D89" s="6" t="str">
        <x:v>Medio</x:v>
      </x:c>
      <x:c r="E89" s="6" t="str">
        <x:v>Sprint 2</x:v>
      </x:c>
      <x:c r="F89" s="6" t="str">
        <x:v>Semana 7</x:v>
      </x:c>
      <x:c r="G89" s="6" t="str">
        <x:v>DevOps</x:v>
      </x:c>
      <x:c r="H89" s="6" t="str">
        <x:v>Semana 7</x:v>
      </x:c>
      <x:c r="I89" s="6" t="str">
        <x:v>1h</x:v>
      </x:c>
    </x:row>
    <x:row r="90" ht="65" customHeight="1">
      <x:c r="A90" s="7" t="str">
        <x:v>Integrar smoke de simuladores</x:v>
      </x:c>
      <x:c r="B90" s="7" t="str">
        <x:v>Objetivo: Levantar Electron con balanza y terminal de pago simulados y comprobar estados aprobados y rechazados.
Entrega verificable: Script o guía de smoke reproducible.
Aceptación: El flujo corre en un equipo sin periféricos.
Prioridad MoSCoW: Must. Dificultad: Media. Meta: Terminal POS con simulador.
Hallazgo o necesidad: No hay terminal de pago ni protocolo físico; se requiere simulador desacoplado.</x:v>
      </x:c>
      <x:c r="C90" s="6" t="str">
        <x:v>dleiva2024</x:v>
      </x:c>
      <x:c r="D90" s="6" t="str">
        <x:v>Medio</x:v>
      </x:c>
      <x:c r="E90" s="6" t="str">
        <x:v>Sprint 2</x:v>
      </x:c>
      <x:c r="F90" s="6" t="str">
        <x:v>Semana 7</x:v>
      </x:c>
      <x:c r="G90" s="6" t="str">
        <x:v>DevOps</x:v>
      </x:c>
      <x:c r="H90" s="6" t="str">
        <x:v>Semana 7</x:v>
      </x:c>
      <x:c r="I90" s="6" t="str">
        <x:v>1h</x:v>
      </x:c>
    </x:row>
    <x:row r="91" ht="65" customHeight="1">
      <x:c r="A91" s="7" t="str">
        <x:v>Documentar sustitución por hardware real</x:v>
      </x:c>
      <x:c r="B91" s="7" t="str">
        <x:v>Objetivo: Definir datos mínimos de balanza y terminal: fabricante, modelo, protocolo, SDK, conectividad y equipo de prueba.
Entrega verificable: Guía de conexión y bloqueo físico explícito.
Aceptación: El equipo sabe qué aportar para cerrar las dos metas físicas.
Prioridad MoSCoW: Should. Dificultad: Alta. Meta: Terminal POS con simulador.
Hallazgo o necesidad: No hay terminal de pago ni protocolo físico; se requiere simulador desacoplado.</x:v>
      </x:c>
      <x:c r="C91" s="6" t="str">
        <x:v>dleiva2024</x:v>
      </x:c>
      <x:c r="D91" s="6" t="str">
        <x:v>Alta</x:v>
      </x:c>
      <x:c r="E91" s="6" t="str">
        <x:v>Sprint 2</x:v>
      </x:c>
      <x:c r="F91" s="6" t="str">
        <x:v>Semana 7</x:v>
      </x:c>
      <x:c r="G91" s="6" t="str">
        <x:v>DevOps</x:v>
      </x:c>
      <x:c r="H91" s="6" t="str">
        <x:v>Semana 7</x:v>
      </x:c>
      <x:c r="I91" s="6" t="str">
        <x:v>1h30m</x:v>
      </x:c>
    </x:row>
    <x:row r="92" ht="65" customHeight="1">
      <x:c r="A92" s="7" t="str">
        <x:v>Definir alcance de anulación Sprint 2</x:v>
      </x:c>
      <x:c r="B92" s="7" t="str">
        <x:v>Objetivo: Limitar a anulación total autorizada y separar devolución parcial para otro sprint.
Entrega verificable: Contrato HTTP y permisos ADMIN definidos.
Aceptación: No se promete reembolso de tarjeta sin respuesta del simulador.
Prioridad MoSCoW: Must. Dificultad: Baja. Meta: Carrito y venta funcional.
Hallazgo o necesidad: La anulación solo existe en servicio; faltan ruta y reglas para pagos aprobados.</x:v>
      </x:c>
      <x:c r="C92" s="6" t="str">
        <x:v>spereda2024</x:v>
      </x:c>
      <x:c r="D92" s="6" t="str">
        <x:v>Facil</x:v>
      </x:c>
      <x:c r="E92" s="6" t="str">
        <x:v>Sprint 2</x:v>
      </x:c>
      <x:c r="F92" s="6" t="str">
        <x:v>Semana 8</x:v>
      </x:c>
      <x:c r="G92" s="6" t="str">
        <x:v>Backend</x:v>
      </x:c>
      <x:c r="H92" s="6" t="str">
        <x:v>Semana 8</x:v>
      </x:c>
      <x:c r="I92" s="6" t="str">
        <x:v>30m</x:v>
      </x:c>
    </x:row>
    <x:row r="93" ht="65" customHeight="1">
      <x:c r="A93" s="7" t="str">
        <x:v>Exponer anulación de venta</x:v>
      </x:c>
      <x:c r="B93" s="7" t="str">
        <x:v>Objetivo: Agregar POST /ventas/{id}/anular con motivo, JWT, tenant y estado permitido.
Entrega verificable: Controller con errores 400, 403, 404 y 409.
Aceptación: Venta de otro tenant y rol no autorizado no pueden anularse.
Prioridad MoSCoW: Must. Dificultad: Media. Meta: Carrito y venta funcional.
Hallazgo o necesidad: La anulación solo existe en servicio; faltan ruta y reglas para pagos aprobados.</x:v>
      </x:c>
      <x:c r="C93" s="6" t="str">
        <x:v>spereda2024</x:v>
      </x:c>
      <x:c r="D93" s="6" t="str">
        <x:v>Medio</x:v>
      </x:c>
      <x:c r="E93" s="6" t="str">
        <x:v>Sprint 2</x:v>
      </x:c>
      <x:c r="F93" s="6" t="str">
        <x:v>Semana 8</x:v>
      </x:c>
      <x:c r="G93" s="6" t="str">
        <x:v>Backend</x:v>
      </x:c>
      <x:c r="H93" s="6" t="str">
        <x:v>Semana 8</x:v>
      </x:c>
      <x:c r="I93" s="6" t="str">
        <x:v>1h</x:v>
      </x:c>
    </x:row>
    <x:row r="94" ht="65" customHeight="1">
      <x:c r="A94" s="7" t="str">
        <x:v>Reversar tarjeta por pasarela simulada</x:v>
      </x:c>
      <x:c r="B94" s="7" t="str">
        <x:v>Objetivo: Solicitar reversa usando referencia opaca antes de confirmar anulación de pago tarjeta.
Entrega verificable: Método de reversa en gateway y estado persistido.
Aceptación: Reversa rechazada deja caso visible sin fingir reembolso completo.
Prioridad MoSCoW: Must. Dificultad: Media. Meta: Carrito y venta funcional.
Hallazgo o necesidad: La anulación solo existe en servicio; faltan ruta y reglas para pagos aprobados.</x:v>
      </x:c>
      <x:c r="C94" s="6" t="str">
        <x:v>spereda2024</x:v>
      </x:c>
      <x:c r="D94" s="6" t="str">
        <x:v>Medio</x:v>
      </x:c>
      <x:c r="E94" s="6" t="str">
        <x:v>Sprint 2</x:v>
      </x:c>
      <x:c r="F94" s="6" t="str">
        <x:v>Semana 8</x:v>
      </x:c>
      <x:c r="G94" s="6" t="str">
        <x:v>Backend</x:v>
      </x:c>
      <x:c r="H94" s="6" t="str">
        <x:v>Semana 8</x:v>
      </x:c>
      <x:c r="I94" s="6" t="str">
        <x:v>1h</x:v>
      </x:c>
    </x:row>
    <x:row r="95" ht="65" customHeight="1">
      <x:c r="A95" s="7" t="str">
        <x:v>Publicar sale.reversed por outbox</x:v>
      </x:c>
      <x:c r="B95" s="7" t="str">
        <x:v>Objetivo: Registrar evento de anulación con EventId estable y relación a venta original.
Entrega verificable: Payload y outbox de sale.reversed.
Aceptación: Un reintento no publica una reversa lógica distinta.
Prioridad MoSCoW: Must. Dificultad: Media. Meta: Carrito y venta funcional.
Hallazgo o necesidad: La anulación solo existe en servicio; faltan ruta y reglas para pagos aprobados.</x:v>
      </x:c>
      <x:c r="C95" s="6" t="str">
        <x:v>spereda2024</x:v>
      </x:c>
      <x:c r="D95" s="6" t="str">
        <x:v>Medio</x:v>
      </x:c>
      <x:c r="E95" s="6" t="str">
        <x:v>Sprint 2</x:v>
      </x:c>
      <x:c r="F95" s="6" t="str">
        <x:v>Semana 8</x:v>
      </x:c>
      <x:c r="G95" s="6" t="str">
        <x:v>Backend</x:v>
      </x:c>
      <x:c r="H95" s="6" t="str">
        <x:v>Semana 8</x:v>
      </x:c>
      <x:c r="I95" s="6" t="str">
        <x:v>1h</x:v>
      </x:c>
    </x:row>
    <x:row r="96" ht="65" customHeight="1">
      <x:c r="A96" s="7" t="str">
        <x:v>Probar anulación y permisos</x:v>
      </x:c>
      <x:c r="B96" s="7" t="str">
        <x:v>Objetivo: Cubrir efectivo, tarjeta aprobada, rechazo de reversa, repetición y tenant ajeno.
Entrega verificable: Pruebas de integración de anulación total.
Aceptación: Las ventas y eventos conservan estado coherente en cada escenario.
Prioridad MoSCoW: Must. Dificultad: Alta. Meta: Carrito y venta funcional.
Hallazgo o necesidad: La anulación solo existe en servicio; faltan ruta y reglas para pagos aprobados.</x:v>
      </x:c>
      <x:c r="C96" s="6" t="str">
        <x:v>spereda2024</x:v>
      </x:c>
      <x:c r="D96" s="6" t="str">
        <x:v>Alta</x:v>
      </x:c>
      <x:c r="E96" s="6" t="str">
        <x:v>Sprint 2</x:v>
      </x:c>
      <x:c r="F96" s="6" t="str">
        <x:v>Semana 8</x:v>
      </x:c>
      <x:c r="G96" s="6" t="str">
        <x:v>Backend</x:v>
      </x:c>
      <x:c r="H96" s="6" t="str">
        <x:v>Semana 8</x:v>
      </x:c>
      <x:c r="I96" s="6" t="str">
        <x:v>1h30m</x:v>
      </x:c>
    </x:row>
    <x:row r="97" ht="65" customHeight="1">
      <x:c r="A97" s="7" t="str">
        <x:v>Definir política de errores Kafka</x:v>
      </x:c>
      <x:c r="B97" s="7" t="str">
        <x:v>Objetivo: Separar duplicado, payload inválido, fallo transitorio y evento irrecuperable con destino de error.
Entrega verificable: Política de commit, reintento y cola de error.
Aceptación: No se confirma offset de fallo transitorio sin recuperación.
Prioridad MoSCoW: Must. Dificultad: Baja. Meta: Carrito y venta funcional.
Hallazgo o necesidad: MS-4 confirma offsets fallidos y descuenta por ítem fuera de una transacción.</x:v>
      </x:c>
      <x:c r="C97" s="6" t="str">
        <x:v>nmartinez2024</x:v>
      </x:c>
      <x:c r="D97" s="6" t="str">
        <x:v>Facil</x:v>
      </x:c>
      <x:c r="E97" s="6" t="str">
        <x:v>Sprint 2</x:v>
      </x:c>
      <x:c r="F97" s="6" t="str">
        <x:v>Semana 8</x:v>
      </x:c>
      <x:c r="G97" s="6" t="str">
        <x:v>Backend</x:v>
      </x:c>
      <x:c r="H97" s="6" t="str">
        <x:v>Semana 8</x:v>
      </x:c>
      <x:c r="I97" s="6" t="str">
        <x:v>30m</x:v>
      </x:c>
    </x:row>
    <x:row r="98" ht="65" customHeight="1">
      <x:c r="A98" s="7" t="str">
        <x:v>Agrupar descuento e idempotencia</x:v>
      </x:c>
      <x:c r="B98" s="7" t="str">
        <x:v>Objetivo: Descontar todos los ítems y registrar EventId dentro de una única transacción del WarehouseDbContext.
Entrega verificable: Cambio de repositorio y consumidor.
Aceptación: Si falla el segundo ítem se revierte el primero.
Prioridad MoSCoW: Must. Dificultad: Media. Meta: Carrito y venta funcional.
Hallazgo o necesidad: MS-4 confirma offsets fallidos y descuenta por ítem fuera de una transacción.</x:v>
      </x:c>
      <x:c r="C98" s="6" t="str">
        <x:v>nmartinez2024</x:v>
      </x:c>
      <x:c r="D98" s="6" t="str">
        <x:v>Medio</x:v>
      </x:c>
      <x:c r="E98" s="6" t="str">
        <x:v>Sprint 2</x:v>
      </x:c>
      <x:c r="F98" s="6" t="str">
        <x:v>Semana 8</x:v>
      </x:c>
      <x:c r="G98" s="6" t="str">
        <x:v>Backend</x:v>
      </x:c>
      <x:c r="H98" s="6" t="str">
        <x:v>Semana 8</x:v>
      </x:c>
      <x:c r="I98" s="6" t="str">
        <x:v>1h</x:v>
      </x:c>
    </x:row>
    <x:row r="99" ht="65" customHeight="1">
      <x:c r="A99" s="7" t="str">
        <x:v>Evitar stock negativo por evento</x:v>
      </x:c>
      <x:c r="B99" s="7" t="str">
        <x:v>Objetivo: Validar disponibilidad antes de guardar y registrar incidencia recuperable si no hay stock.
Entrega verificable: Validación explícita y respuesta del consumidor.
Aceptación: La cantidad de stock no baja de cero por un mensaje inválido.
Prioridad MoSCoW: Must. Dificultad: Media. Meta: Carrito y venta funcional.
Hallazgo o necesidad: MS-4 confirma offsets fallidos y descuenta por ítem fuera de una transacción.</x:v>
      </x:c>
      <x:c r="C99" s="6" t="str">
        <x:v>nmartinez2024</x:v>
      </x:c>
      <x:c r="D99" s="6" t="str">
        <x:v>Medio</x:v>
      </x:c>
      <x:c r="E99" s="6" t="str">
        <x:v>Sprint 2</x:v>
      </x:c>
      <x:c r="F99" s="6" t="str">
        <x:v>Semana 8</x:v>
      </x:c>
      <x:c r="G99" s="6" t="str">
        <x:v>Backend</x:v>
      </x:c>
      <x:c r="H99" s="6" t="str">
        <x:v>Semana 8</x:v>
      </x:c>
      <x:c r="I99" s="6" t="str">
        <x:v>1h</x:v>
      </x:c>
    </x:row>
    <x:row r="100" ht="65" customHeight="1">
      <x:c r="A100" s="7" t="str">
        <x:v>Corregir commit y recuperación</x:v>
      </x:c>
      <x:c r="B100" s="7" t="str">
        <x:v>Objetivo: Confirmar offset solo tras transacción válida o manejo explícito de poison message.
Entrega verificable: Loop Kafka con estrategia de recuperación registrada.
Aceptación: Un fallo temporal se reprocesa y no se pierde silenciosamente.
Prioridad MoSCoW: Must. Dificultad: Media. Meta: Carrito y venta funcional.
Hallazgo o necesidad: MS-4 confirma offsets fallidos y descuenta por ítem fuera de una transacción.</x:v>
      </x:c>
      <x:c r="C100" s="6" t="str">
        <x:v>nmartinez2024</x:v>
      </x:c>
      <x:c r="D100" s="6" t="str">
        <x:v>Medio</x:v>
      </x:c>
      <x:c r="E100" s="6" t="str">
        <x:v>Sprint 2</x:v>
      </x:c>
      <x:c r="F100" s="6" t="str">
        <x:v>Semana 8</x:v>
      </x:c>
      <x:c r="G100" s="6" t="str">
        <x:v>Backend</x:v>
      </x:c>
      <x:c r="H100" s="6" t="str">
        <x:v>Semana 8</x:v>
      </x:c>
      <x:c r="I100" s="6" t="str">
        <x:v>1h</x:v>
      </x:c>
    </x:row>
    <x:row r="101" ht="65" customHeight="1">
      <x:c r="A101" s="7" t="str">
        <x:v>Probar duplicados y fallo intermedio</x:v>
      </x:c>
      <x:c r="B101" s="7" t="str">
        <x:v>Objetivo: Publicar eventos duplicados y provocar fallo a mitad de ítems.
Entrega verificable: Pruebas de integración de MS-4 con broker.
Aceptación: Se descuenta una vez y no queda stock parcialmente descontado.
Prioridad MoSCoW: Must. Dificultad: Alta. Meta: Carrito y venta funcional.
Hallazgo o necesidad: MS-4 confirma offsets fallidos y descuenta por ítem fuera de una transacción.</x:v>
      </x:c>
      <x:c r="C101" s="6" t="str">
        <x:v>nmartinez2024</x:v>
      </x:c>
      <x:c r="D101" s="6" t="str">
        <x:v>Alta</x:v>
      </x:c>
      <x:c r="E101" s="6" t="str">
        <x:v>Sprint 2</x:v>
      </x:c>
      <x:c r="F101" s="6" t="str">
        <x:v>Semana 8</x:v>
      </x:c>
      <x:c r="G101" s="6" t="str">
        <x:v>Backend</x:v>
      </x:c>
      <x:c r="H101" s="6" t="str">
        <x:v>Semana 8</x:v>
      </x:c>
      <x:c r="I101" s="6" t="str">
        <x:v>1h30m</x:v>
      </x:c>
    </x:row>
    <x:row r="102" ht="65" customHeight="1">
      <x:c r="A102" s="7" t="str">
        <x:v>Revisar rutas Admin y rol activo</x:v>
      </x:c>
      <x:c r="B102" s="7" t="str">
        <x:v>Objetivo: Ocultar navegación para CAJERO sin tomar el ocultamiento como sustituto del control backend.
Entrega verificable: Guardia y navegación coherentes con active_role.
Aceptación: Un usuario sin rol ADMIN no ve ni abre la página Admin.
Prioridad MoSCoW: Must. Dificultad: Baja. Meta: Página Administración.
Hallazgo o necesidad: La página Admin necesita cierre funcional y validación de regresión.</x:v>
      </x:c>
      <x:c r="C102" s="6" t="str">
        <x:v>msanhueza2024</x:v>
      </x:c>
      <x:c r="D102" s="6" t="str">
        <x:v>Facil</x:v>
      </x:c>
      <x:c r="E102" s="6" t="str">
        <x:v>Sprint 2</x:v>
      </x:c>
      <x:c r="F102" s="6" t="str">
        <x:v>Semana 8</x:v>
      </x:c>
      <x:c r="G102" s="6" t="str">
        <x:v>Frontend</x:v>
      </x:c>
      <x:c r="H102" s="6" t="str">
        <x:v>Semana 8</x:v>
      </x:c>
      <x:c r="I102" s="6" t="str">
        <x:v>30m</x:v>
      </x:c>
    </x:row>
    <x:row r="103" ht="65" customHeight="1">
      <x:c r="A103" s="7" t="str">
        <x:v>Completar estados de usuarios inactivos</x:v>
      </x:c>
      <x:c r="B103" s="7" t="str">
        <x:v>Objetivo: Mostrar estado y bloquear edición de usuarios desactivados según contrato de MS-1.
Entrega verificable: Tabla de usuarios con acciones condicionadas.
Aceptación: Un usuario inactivo permanece visible y distinguible.
Prioridad MoSCoW: Must. Dificultad: Media. Meta: Página Administración.
Hallazgo o necesidad: La página Admin necesita cierre funcional y validación de regresión.</x:v>
      </x:c>
      <x:c r="C103" s="6" t="str">
        <x:v>msanhueza2024</x:v>
      </x:c>
      <x:c r="D103" s="6" t="str">
        <x:v>Medio</x:v>
      </x:c>
      <x:c r="E103" s="6" t="str">
        <x:v>Sprint 2</x:v>
      </x:c>
      <x:c r="F103" s="6" t="str">
        <x:v>Semana 8</x:v>
      </x:c>
      <x:c r="G103" s="6" t="str">
        <x:v>Frontend</x:v>
      </x:c>
      <x:c r="H103" s="6" t="str">
        <x:v>Semana 8</x:v>
      </x:c>
      <x:c r="I103" s="6" t="str">
        <x:v>1h</x:v>
      </x:c>
    </x:row>
    <x:row r="104" ht="65" customHeight="1">
      <x:c r="A104" s="7" t="str">
        <x:v>Validar productos desde Admin</x:v>
      </x:c>
      <x:c r="B104" s="7" t="str">
        <x:v>Objetivo: Revisar creación, edición, desactivación y filtros después del cambio de API.
Entrega verificable: Correcciones de producto y mensajes de error.
Aceptación: Las cuatro acciones actualizan la tabla sin recarga manual.
Prioridad MoSCoW: Must. Dificultad: Media. Meta: Página Administración.
Hallazgo o necesidad: La página Admin necesita cierre funcional y validación de regresión.</x:v>
      </x:c>
      <x:c r="C104" s="6" t="str">
        <x:v>msanhueza2024</x:v>
      </x:c>
      <x:c r="D104" s="6" t="str">
        <x:v>Medio</x:v>
      </x:c>
      <x:c r="E104" s="6" t="str">
        <x:v>Sprint 2</x:v>
      </x:c>
      <x:c r="F104" s="6" t="str">
        <x:v>Semana 8</x:v>
      </x:c>
      <x:c r="G104" s="6" t="str">
        <x:v>Frontend</x:v>
      </x:c>
      <x:c r="H104" s="6" t="str">
        <x:v>Semana 8</x:v>
      </x:c>
      <x:c r="I104" s="6" t="str">
        <x:v>1h</x:v>
      </x:c>
    </x:row>
    <x:row r="105" ht="65" customHeight="1">
      <x:c r="A105" s="7" t="str">
        <x:v>Verificar accesibilidad y guía visual</x:v>
      </x:c>
      <x:c r="B105" s="7" t="str">
        <x:v>Objetivo: Aplicar tokens aprobados, etiquetas y foco de teclado en formularios administrativos.
Entrega verificable: Ajustes de UI sin rehacer el diseño.
Aceptación: Modal, errores y botones son utilizables por teclado.
Prioridad MoSCoW: Should. Dificultad: Media. Meta: Página Administración.
Hallazgo o necesidad: La página Admin necesita cierre funcional y validación de regresión.</x:v>
      </x:c>
      <x:c r="C105" s="6" t="str">
        <x:v>msanhueza2024</x:v>
      </x:c>
      <x:c r="D105" s="6" t="str">
        <x:v>Medio</x:v>
      </x:c>
      <x:c r="E105" s="6" t="str">
        <x:v>Sprint 2</x:v>
      </x:c>
      <x:c r="F105" s="6" t="str">
        <x:v>Semana 8</x:v>
      </x:c>
      <x:c r="G105" s="6" t="str">
        <x:v>Frontend</x:v>
      </x:c>
      <x:c r="H105" s="6" t="str">
        <x:v>Semana 8</x:v>
      </x:c>
      <x:c r="I105" s="6" t="str">
        <x:v>1h</x:v>
      </x:c>
    </x:row>
    <x:row r="106" ht="65" customHeight="1">
      <x:c r="A106" s="7" t="str">
        <x:v>Cerrar regresión de Administración</x:v>
      </x:c>
      <x:c r="B106" s="7" t="str">
        <x:v>Objetivo: Ejecutar altas, cambios, bajas y configuración del tenant con dos roles y dos tenants.
Entrega verificable: Evidencia de pruebas de Admin y lista de defectos cerrados.
Aceptación: No queda error TypeScript ni llamada a endpoint inexistente.
Prioridad MoSCoW: Must. Dificultad: Alta. Meta: Página Administración.
Hallazgo o necesidad: La página Admin necesita cierre funcional y validación de regresión.</x:v>
      </x:c>
      <x:c r="C106" s="6" t="str">
        <x:v>msanhueza2024</x:v>
      </x:c>
      <x:c r="D106" s="6" t="str">
        <x:v>Alta</x:v>
      </x:c>
      <x:c r="E106" s="6" t="str">
        <x:v>Sprint 2</x:v>
      </x:c>
      <x:c r="F106" s="6" t="str">
        <x:v>Semana 8</x:v>
      </x:c>
      <x:c r="G106" s="6" t="str">
        <x:v>Frontend</x:v>
      </x:c>
      <x:c r="H106" s="6" t="str">
        <x:v>Semana 8</x:v>
      </x:c>
      <x:c r="I106" s="6" t="str">
        <x:v>1h30m</x:v>
      </x:c>
    </x:row>
    <x:row r="107" ht="65" customHeight="1">
      <x:c r="A107" s="7" t="str">
        <x:v>Diseñar pantalla de terminal POS</x:v>
      </x:c>
      <x:c r="B107" s="7" t="str">
        <x:v>Objetivo: Mostrar monto desde MS-5, estado de conexión, lectura, autorización, rechazo y cancelación sin pedir número de tarjeta.
Entrega verificable: Panel de cobro por terminal con estados claros.
Aceptación: El cajero identifica el resultado y la referencia opaca del intento.
Prioridad MoSCoW: Must. Dificultad: Baja. Meta: Terminal POS con simulador.
Hallazgo o necesidad: POS debe integrar el terminal de pago simulado sin duplicar cargos.</x:v>
      </x:c>
      <x:c r="C107" s="6" t="str">
        <x:v>admin</x:v>
      </x:c>
      <x:c r="D107" s="6" t="str">
        <x:v>Facil</x:v>
      </x:c>
      <x:c r="E107" s="6" t="str">
        <x:v>Sprint 2</x:v>
      </x:c>
      <x:c r="F107" s="6" t="str">
        <x:v>Semana 8</x:v>
      </x:c>
      <x:c r="G107" s="6" t="str">
        <x:v>Frontend</x:v>
      </x:c>
      <x:c r="H107" s="6" t="str">
        <x:v>Semana 8</x:v>
      </x:c>
      <x:c r="I107" s="6" t="str">
        <x:v>30m</x:v>
      </x:c>
    </x:row>
    <x:row r="108" ht="65" customHeight="1">
      <x:c r="A108" s="7" t="str">
        <x:v>Conectar terminal simulado al cobro</x:v>
      </x:c>
      <x:c r="B108" s="7" t="str">
        <x:v>Objetivo: Iniciar terminal por preload y enviar la misma clave de idempotencia a MS-5 para autorizar por pasarela simulada.
Entrega verificable: Flujo de tarjeta mediante TerminalPort y cobrar-tarjeta.
Aceptación: Solo la autorización confirmada por MS-5 marca venta COMPLETADA.
Prioridad MoSCoW: Must. Dificultad: Media. Meta: Terminal POS con simulador.
Hallazgo o necesidad: POS debe integrar el terminal de pago simulado sin duplicar cargos.</x:v>
      </x:c>
      <x:c r="C108" s="6" t="str">
        <x:v>admin</x:v>
      </x:c>
      <x:c r="D108" s="6" t="str">
        <x:v>Medio</x:v>
      </x:c>
      <x:c r="E108" s="6" t="str">
        <x:v>Sprint 2</x:v>
      </x:c>
      <x:c r="F108" s="6" t="str">
        <x:v>Semana 8</x:v>
      </x:c>
      <x:c r="G108" s="6" t="str">
        <x:v>Frontend</x:v>
      </x:c>
      <x:c r="H108" s="6" t="str">
        <x:v>Semana 8</x:v>
      </x:c>
      <x:c r="I108" s="6" t="str">
        <x:v>1h</x:v>
      </x:c>
    </x:row>
    <x:row r="109" ht="65" customHeight="1">
      <x:c r="A109" s="7" t="str">
        <x:v>Mostrar comprobante de pago seguro</x:v>
      </x:c>
      <x:c r="B109" s="7" t="str">
        <x:v>Objetivo: Tomar monto, método y referencia opaca de VentaResponse; no imprimir PAN ni inventar folio DTE.
Entrega verificable: Vista de comprobante rotulada como simulada.
Aceptación: Los montos coinciden con GET /ventas/{id} y no contienen datos sensibles.
Prioridad MoSCoW: Must. Dificultad: Media. Meta: Terminal POS con simulador.
Hallazgo o necesidad: POS debe integrar el terminal de pago simulado sin duplicar cargos.</x:v>
      </x:c>
      <x:c r="C109" s="6" t="str">
        <x:v>admin</x:v>
      </x:c>
      <x:c r="D109" s="6" t="str">
        <x:v>Medio</x:v>
      </x:c>
      <x:c r="E109" s="6" t="str">
        <x:v>Sprint 2</x:v>
      </x:c>
      <x:c r="F109" s="6" t="str">
        <x:v>Semana 8</x:v>
      </x:c>
      <x:c r="G109" s="6" t="str">
        <x:v>Frontend</x:v>
      </x:c>
      <x:c r="H109" s="6" t="str">
        <x:v>Semana 8</x:v>
      </x:c>
      <x:c r="I109" s="6" t="str">
        <x:v>1h</x:v>
      </x:c>
    </x:row>
    <x:row r="110" ht="65" customHeight="1">
      <x:c r="A110" s="7" t="str">
        <x:v>Resolver errores y recarga POS</x:v>
      </x:c>
      <x:c r="B110" s="7" t="str">
        <x:v>Objetivo: Consultar estado de intento tras timeout o reinicio y permitir cancelar o continuar sin reautorizar a ciegas.
Entrega verificable: Estados de recuperación para carrito y terminal.
Aceptación: Una recarga no duplica cargo ni pierde el identificador de venta.
Prioridad MoSCoW: Must. Dificultad: Media. Meta: Terminal POS con simulador.
Hallazgo o necesidad: POS debe integrar el terminal de pago simulado sin duplicar cargos.</x:v>
      </x:c>
      <x:c r="C110" s="6" t="str">
        <x:v>admin</x:v>
      </x:c>
      <x:c r="D110" s="6" t="str">
        <x:v>Medio</x:v>
      </x:c>
      <x:c r="E110" s="6" t="str">
        <x:v>Sprint 2</x:v>
      </x:c>
      <x:c r="F110" s="6" t="str">
        <x:v>Semana 8</x:v>
      </x:c>
      <x:c r="G110" s="6" t="str">
        <x:v>Frontend</x:v>
      </x:c>
      <x:c r="H110" s="6" t="str">
        <x:v>Semana 8</x:v>
      </x:c>
      <x:c r="I110" s="6" t="str">
        <x:v>1h</x:v>
      </x:c>
    </x:row>
    <x:row r="111" ht="65" customHeight="1">
      <x:c r="A111" s="7" t="str">
        <x:v>Ejecutar demo completa de mostrador</x:v>
      </x:c>
      <x:c r="B111" s="7" t="str">
        <x:v>Objetivo: Demostrar efectivo, tarjeta por terminal simulado, producto pesable y comprobante.
Entrega verificable: Guion de demo y evidencias de cada meta.
Aceptación: Las cinco metas se prueban con APIs y simuladores declarados, sin alertas placeholder.
Prioridad MoSCoW: Must. Dificultad: Alta. Meta: Terminal POS con simulador.
Hallazgo o necesidad: POS debe integrar el terminal de pago simulado sin duplicar cargos.</x:v>
      </x:c>
      <x:c r="C111" s="6" t="str">
        <x:v>admin</x:v>
      </x:c>
      <x:c r="D111" s="6" t="str">
        <x:v>Alta</x:v>
      </x:c>
      <x:c r="E111" s="6" t="str">
        <x:v>Sprint 2</x:v>
      </x:c>
      <x:c r="F111" s="6" t="str">
        <x:v>Semana 8</x:v>
      </x:c>
      <x:c r="G111" s="6" t="str">
        <x:v>Frontend</x:v>
      </x:c>
      <x:c r="H111" s="6" t="str">
        <x:v>Semana 8</x:v>
      </x:c>
      <x:c r="I111" s="6" t="str">
        <x:v>1h30m</x:v>
      </x:c>
    </x:row>
    <x:row r="112" ht="65" customHeight="1">
      <x:c r="A112" s="7" t="str">
        <x:v>Congelar criterios de salida del sprint</x:v>
      </x:c>
      <x:c r="B112" s="7" t="str">
        <x:v>Objetivo: Revisar que cada Must tenga prueba y que las metas físicas estén identificadas como condicionadas.
Entrega verificable: Checklist de aceptación trazable a tareas.
Aceptación: No se marca completa una meta sin evidencia del escenario exigido.
Prioridad MoSCoW: Must. Dificultad: Baja. Meta: Salud técnica del sprint.
Hallazgo o necesidad: No existe un gate E2E y la cobertura de los flujos críticos no está demostrada.</x:v>
      </x:c>
      <x:c r="C112" s="6" t="str">
        <x:v>dprado2024</x:v>
      </x:c>
      <x:c r="D112" s="6" t="str">
        <x:v>Facil</x:v>
      </x:c>
      <x:c r="E112" s="6" t="str">
        <x:v>Sprint 2</x:v>
      </x:c>
      <x:c r="F112" s="6" t="str">
        <x:v>Semana 8</x:v>
      </x:c>
      <x:c r="G112" s="6" t="str">
        <x:v>Testing</x:v>
      </x:c>
      <x:c r="H112" s="6" t="str">
        <x:v>Semana 8</x:v>
      </x:c>
      <x:c r="I112" s="6" t="str">
        <x:v>30m</x:v>
      </x:c>
    </x:row>
    <x:row r="113" ht="65" customHeight="1">
      <x:c r="A113" s="7" t="str">
        <x:v>Ejecutar E2E de Admin y venta</x:v>
      </x:c>
      <x:c r="B113" s="7" t="str">
        <x:v>Objetivo: Validar usuario ADMIN, catálogo, turno, carrito, efectivo y cierre en entorno integrado.
Entrega verificable: Resultados E2E y capturas de fallos.
Aceptación: El camino principal termina sin error de API ni totales divergentes.
Prioridad MoSCoW: Must. Dificultad: Media. Meta: Salud técnica del sprint.
Hallazgo o necesidad: No existe un gate E2E y la cobertura de los flujos críticos no está demostrada.</x:v>
      </x:c>
      <x:c r="C113" s="6" t="str">
        <x:v>dprado2024</x:v>
      </x:c>
      <x:c r="D113" s="6" t="str">
        <x:v>Medio</x:v>
      </x:c>
      <x:c r="E113" s="6" t="str">
        <x:v>Sprint 2</x:v>
      </x:c>
      <x:c r="F113" s="6" t="str">
        <x:v>Semana 8</x:v>
      </x:c>
      <x:c r="G113" s="6" t="str">
        <x:v>Testing</x:v>
      </x:c>
      <x:c r="H113" s="6" t="str">
        <x:v>Semana 8</x:v>
      </x:c>
      <x:c r="I113" s="6" t="str">
        <x:v>1h</x:v>
      </x:c>
    </x:row>
    <x:row r="114" ht="65" customHeight="1">
      <x:c r="A114" s="7" t="str">
        <x:v>Ejecutar E2E de tarjeta y pesaje</x:v>
      </x:c>
      <x:c r="B114" s="7" t="str">
        <x:v>Objetivo: Validar aprobado, rechazado, timeout, peso simulado y entrada manual.
Entrega verificable: Resultados E2E de pasarela y balanza.
Aceptación: Una falla no completa la venta ni provoca doble cargo.
Prioridad MoSCoW: Must. Dificultad: Media. Meta: Salud técnica del sprint.
Hallazgo o necesidad: No existe un gate E2E y la cobertura de los flujos críticos no está demostrada.</x:v>
      </x:c>
      <x:c r="C114" s="6" t="str">
        <x:v>dprado2024</x:v>
      </x:c>
      <x:c r="D114" s="6" t="str">
        <x:v>Medio</x:v>
      </x:c>
      <x:c r="E114" s="6" t="str">
        <x:v>Sprint 2</x:v>
      </x:c>
      <x:c r="F114" s="6" t="str">
        <x:v>Semana 8</x:v>
      </x:c>
      <x:c r="G114" s="6" t="str">
        <x:v>Testing</x:v>
      </x:c>
      <x:c r="H114" s="6" t="str">
        <x:v>Semana 8</x:v>
      </x:c>
      <x:c r="I114" s="6" t="str">
        <x:v>1h</x:v>
      </x:c>
    </x:row>
    <x:row r="115" ht="65" customHeight="1">
      <x:c r="A115" s="7" t="str">
        <x:v>Medir cobertura y compilar todo</x:v>
      </x:c>
      <x:c r="B115" s="7" t="str">
        <x:v>Objetivo: Ejecutar dotnet test, reporte de cobertura disponible, tsc y build Electron; registrar límites de entorno.
Entrega verificable: Reporte de ejecución con comandos y resultados.
Aceptación: No se atribuye 80% de cobertura si el reporte no lo prueba.
Prioridad MoSCoW: Must. Dificultad: Media. Meta: Salud técnica del sprint.
Hallazgo o necesidad: No existe un gate E2E y la cobertura de los flujos críticos no está demostrada.</x:v>
      </x:c>
      <x:c r="C115" s="6" t="str">
        <x:v>dprado2024</x:v>
      </x:c>
      <x:c r="D115" s="6" t="str">
        <x:v>Medio</x:v>
      </x:c>
      <x:c r="E115" s="6" t="str">
        <x:v>Sprint 2</x:v>
      </x:c>
      <x:c r="F115" s="6" t="str">
        <x:v>Semana 8</x:v>
      </x:c>
      <x:c r="G115" s="6" t="str">
        <x:v>Testing</x:v>
      </x:c>
      <x:c r="H115" s="6" t="str">
        <x:v>Semana 8</x:v>
      </x:c>
      <x:c r="I115" s="6" t="str">
        <x:v>1h</x:v>
      </x:c>
    </x:row>
    <x:row r="116" ht="65" customHeight="1">
      <x:c r="A116" s="7" t="str">
        <x:v>Auditar aislamiento y recuperación final</x:v>
      </x:c>
      <x:c r="B116" s="7" t="str">
        <x:v>Objetivo: Repetir pruebas de dos tenants, outbox, consumidor y reinicio de POS después de las integraciones.
Entrega verificable: Informe de defectos abiertos y decisión Go/No Go.
Aceptación: Todo fallo Must queda registrado con dueño y no se oculta en el resumen.
Prioridad MoSCoW: Must. Dificultad: Alta. Meta: Salud técnica del sprint.
Hallazgo o necesidad: No existe un gate E2E y la cobertura de los flujos críticos no está demostrada.</x:v>
      </x:c>
      <x:c r="C116" s="6" t="str">
        <x:v>dprado2024</x:v>
      </x:c>
      <x:c r="D116" s="6" t="str">
        <x:v>Alta</x:v>
      </x:c>
      <x:c r="E116" s="6" t="str">
        <x:v>Sprint 2</x:v>
      </x:c>
      <x:c r="F116" s="6" t="str">
        <x:v>Semana 8</x:v>
      </x:c>
      <x:c r="G116" s="6" t="str">
        <x:v>Testing</x:v>
      </x:c>
      <x:c r="H116" s="6" t="str">
        <x:v>Semana 8</x:v>
      </x:c>
      <x:c r="I116" s="6" t="str">
        <x:v>1h30m</x:v>
      </x:c>
    </x:row>
    <x:row r="117" ht="65" customHeight="1">
      <x:c r="A117" s="7" t="str">
        <x:v>Revisar Compose y gateway final</x:v>
      </x:c>
      <x:c r="B117" s="7" t="str">
        <x:v>Objetivo: Asegurar que el entorno documentado inicia simulador, dependencias y servicios necesarios del Sprint 2.
Entrega verificable: Composición y rutas finales verificadas.
Aceptación: Login, catálogo, POS y pasarela responden desde el entorno indicado.
Prioridad MoSCoW: Must. Dificultad: Baja. Meta: Salud técnica del sprint.
Hallazgo o necesidad: El DoD exige arranque, CI y documentación coherentes con el código.</x:v>
      </x:c>
      <x:c r="C117" s="6" t="str">
        <x:v>dleiva2024</x:v>
      </x:c>
      <x:c r="D117" s="6" t="str">
        <x:v>Facil</x:v>
      </x:c>
      <x:c r="E117" s="6" t="str">
        <x:v>Sprint 2</x:v>
      </x:c>
      <x:c r="F117" s="6" t="str">
        <x:v>Semana 8</x:v>
      </x:c>
      <x:c r="G117" s="6" t="str">
        <x:v>DevOps</x:v>
      </x:c>
      <x:c r="H117" s="6" t="str">
        <x:v>Semana 8</x:v>
      </x:c>
      <x:c r="I117" s="6" t="str">
        <x:v>30m</x:v>
      </x:c>
    </x:row>
    <x:row r="118" ht="65" customHeight="1">
      <x:c r="A118" s="7" t="str">
        <x:v>Integrar pruebas críticas en CI</x:v>
      </x:c>
      <x:c r="B118" s="7" t="str">
        <x:v>Objetivo: Ejecutar build .NET, tsc, pruebas unitarias e integración disponible con infraestructura.
Entrega verificable: Workflow con salida legible por etapa.
Aceptación: Un fallo de API, tipos o tests bloquea la ejecución exitosa.
Prioridad MoSCoW: Must. Dificultad: Media. Meta: Salud técnica del sprint.
Hallazgo o necesidad: El DoD exige arranque, CI y documentación coherentes con el código.</x:v>
      </x:c>
      <x:c r="C118" s="6" t="str">
        <x:v>dleiva2024</x:v>
      </x:c>
      <x:c r="D118" s="6" t="str">
        <x:v>Medio</x:v>
      </x:c>
      <x:c r="E118" s="6" t="str">
        <x:v>Sprint 2</x:v>
      </x:c>
      <x:c r="F118" s="6" t="str">
        <x:v>Semana 8</x:v>
      </x:c>
      <x:c r="G118" s="6" t="str">
        <x:v>DevOps</x:v>
      </x:c>
      <x:c r="H118" s="6" t="str">
        <x:v>Semana 8</x:v>
      </x:c>
      <x:c r="I118" s="6" t="str">
        <x:v>1h</x:v>
      </x:c>
    </x:row>
    <x:row r="119" ht="65" customHeight="1">
      <x:c r="A119" s="7" t="str">
        <x:v>Actualizar nodos de contexto afectados</x:v>
      </x:c>
      <x:c r="B119" s="7" t="str">
        <x:v>Objetivo: Ajustar solo MS-1 a MS-5, frontend, Kafka, infraestructura y estado actual según evidencia de implementación.
Entrega verificable: Grafo con ultima_revision y enlaces válidos.
Aceptación: No se marca IMPLEMENTADO ningún componente sin código o prueba.
Prioridad MoSCoW: Must. Dificultad: Media. Meta: Salud técnica del sprint.
Hallazgo o necesidad: El DoD exige arranque, CI y documentación coherentes con el código.</x:v>
      </x:c>
      <x:c r="C119" s="6" t="str">
        <x:v>dleiva2024</x:v>
      </x:c>
      <x:c r="D119" s="6" t="str">
        <x:v>Medio</x:v>
      </x:c>
      <x:c r="E119" s="6" t="str">
        <x:v>Sprint 2</x:v>
      </x:c>
      <x:c r="F119" s="6" t="str">
        <x:v>Semana 8</x:v>
      </x:c>
      <x:c r="G119" s="6" t="str">
        <x:v>DevOps</x:v>
      </x:c>
      <x:c r="H119" s="6" t="str">
        <x:v>Semana 8</x:v>
      </x:c>
      <x:c r="I119" s="6" t="str">
        <x:v>1h</x:v>
      </x:c>
    </x:row>
    <x:row r="120" ht="65" customHeight="1">
      <x:c r="A120" s="7" t="str">
        <x:v>Publicar guía de demo y límites físicos</x:v>
      </x:c>
      <x:c r="B120" s="7" t="str">
        <x:v>Objetivo: Describir pasos de demo, comandos, configuración de simuladores y condición de balanza/terminal real.
Entrega verificable: Manual de ejecución Sprint 2.
Aceptación: Otra persona reproduce la demo sin dispositivos físicos.
Prioridad MoSCoW: Should. Dificultad: Media. Meta: Salud técnica del sprint.
Hallazgo o necesidad: El DoD exige arranque, CI y documentación coherentes con el código.</x:v>
      </x:c>
      <x:c r="C120" s="6" t="str">
        <x:v>dleiva2024</x:v>
      </x:c>
      <x:c r="D120" s="6" t="str">
        <x:v>Medio</x:v>
      </x:c>
      <x:c r="E120" s="6" t="str">
        <x:v>Sprint 2</x:v>
      </x:c>
      <x:c r="F120" s="6" t="str">
        <x:v>Semana 8</x:v>
      </x:c>
      <x:c r="G120" s="6" t="str">
        <x:v>DevOps</x:v>
      </x:c>
      <x:c r="H120" s="6" t="str">
        <x:v>Semana 8</x:v>
      </x:c>
      <x:c r="I120" s="6" t="str">
        <x:v>1h</x:v>
      </x:c>
    </x:row>
    <x:row r="121" ht="65" customHeight="1">
      <x:c r="A121" s="7" t="str">
        <x:v>Ejecutar revisión de release</x:v>
      </x:c>
      <x:c r="B121" s="7" t="str">
        <x:v>Objetivo: Comprobar build, pruebas, rutas, migraciones y ausencia de secretos antes del cierre.
Entrega verificable: Registro de release con riesgos y fallos remanentes.
Aceptación: El reporte distingue metas simuladas de integración física pendiente.
Prioridad MoSCoW: Must. Dificultad: Alta. Meta: Salud técnica del sprint.
Hallazgo o necesidad: El DoD exige arranque, CI y documentación coherentes con el código.</x:v>
      </x:c>
      <x:c r="C121" s="6" t="str">
        <x:v>dleiva2024</x:v>
      </x:c>
      <x:c r="D121" s="6" t="str">
        <x:v>Alta</x:v>
      </x:c>
      <x:c r="E121" s="6" t="str">
        <x:v>Sprint 2</x:v>
      </x:c>
      <x:c r="F121" s="6" t="str">
        <x:v>Semana 8</x:v>
      </x:c>
      <x:c r="G121" s="6" t="str">
        <x:v>DevOps</x:v>
      </x:c>
      <x:c r="H121" s="6" t="str">
        <x:v>Semana 8</x:v>
      </x:c>
      <x:c r="I121" s="6" t="str">
        <x:v>1h30m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9A9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5" hidden="0" customWidth="1"/>
    <x:col min="3" max="3" width="20" hidden="0" customWidth="1"/>
    <x:col min="4" max="4" width="14" hidden="0" customWidth="1"/>
    <x:col min="5" max="5" width="13" hidden="0" customWidth="1"/>
    <x:col min="6" max="6" width="24" hidden="0" customWidth="1"/>
    <x:col min="7" max="7" width="29" hidden="0" customWidth="1"/>
    <x:col min="8" max="8" width="78" hidden="0" customWidth="1"/>
    <x:col min="9" max="9" width="68" hidden="0" customWidth="1"/>
  </x:cols>
  <x:sheetData>
    <x:row r="1" ht="29" customHeight="1">
      <x:c r="A1" s="4" t="str">
        <x:v>Fila origen</x:v>
      </x:c>
      <x:c r="B1" s="4" t="str">
        <x:v>Tarea original</x:v>
      </x:c>
      <x:c r="C1" s="4" t="str">
        <x:v>Asignado</x:v>
      </x:c>
      <x:c r="D1" s="4" t="str">
        <x:v>Semana</x:v>
      </x:c>
      <x:c r="E1" s="4" t="str">
        <x:v>Estimación</x:v>
      </x:c>
      <x:c r="F1" s="4" t="str">
        <x:v>Estado verificado</x:v>
      </x:c>
      <x:c r="G1" s="4" t="str">
        <x:v>Decisión</x:v>
      </x:c>
      <x:c r="H1" s="4" t="str">
        <x:v>Justificación</x:v>
      </x:c>
      <x:c r="I1" s="4" t="str">
        <x:v>Fuente de contraste</x:v>
      </x:c>
    </x:row>
    <x:row r="2" ht="40" customHeight="1">
      <x:c r="A2" s="6" t="n">
        <x:v>2</x:v>
      </x:c>
      <x:c r="B2" s="7" t="str">
        <x:v>Crear `CreateUsuarioDto` y validadores (nombre, email, password fuerte).</x:v>
      </x:c>
      <x:c r="C2" s="6" t="str">
        <x:v>msanhueza2024</x:v>
      </x:c>
      <x:c r="D2" s="6" t="str">
        <x:v>Semana 5</x:v>
      </x:c>
      <x:c r="E2" s="6" t="str">
        <x:v>40m</x:v>
      </x:c>
      <x:c r="F2" s="6" t="str">
        <x:v>Implementada en código</x:v>
      </x:c>
      <x:c r="G2" s="6" t="str">
        <x:v>Excluir de nueva capacidad</x:v>
      </x:c>
      <x:c r="H2" s="7" t="str">
        <x:v>Controller, servicio, modelo o migración presente en el repositorio.</x:v>
      </x:c>
      <x:c r="I2" s="6" t="str">
        <x:v>src/TenantIdentityService/Controllers/UsuarioController.cs; TenantConfigController.cs</x:v>
      </x:c>
    </x:row>
    <x:row r="3" ht="40" customHeight="1">
      <x:c r="A3" s="6" t="n">
        <x:v>3</x:v>
      </x:c>
      <x:c r="B3" s="7" t="str">
        <x:v>Implementar `POST /users`: Hashear password con BCrypt, asignar `tenant_id` del JWT, guardar en BD.</x:v>
      </x:c>
      <x:c r="C3" s="6" t="str">
        <x:v>msanhueza2024</x:v>
      </x:c>
      <x:c r="D3" s="6" t="str">
        <x:v>Semana 5</x:v>
      </x:c>
      <x:c r="E3" s="6" t="str">
        <x:v>50m</x:v>
      </x:c>
      <x:c r="F3" s="6" t="str">
        <x:v>Implementada en código</x:v>
      </x:c>
      <x:c r="G3" s="6" t="str">
        <x:v>Excluir de nueva capacidad</x:v>
      </x:c>
      <x:c r="H3" s="7" t="str">
        <x:v>Controller, servicio, modelo o migración presente en el repositorio.</x:v>
      </x:c>
      <x:c r="I3" s="6" t="str">
        <x:v>src/TenantIdentityService/Controllers/UsuarioController.cs; TenantConfigController.cs</x:v>
      </x:c>
    </x:row>
    <x:row r="4" ht="40" customHeight="1">
      <x:c r="A4" s="6" t="n">
        <x:v>4</x:v>
      </x:c>
      <x:c r="B4" s="7" t="str">
        <x:v>Implementar `GET /users`: Listar usuarios del tenant (paginado).</x:v>
      </x:c>
      <x:c r="C4" s="6" t="str">
        <x:v>msanhueza2024</x:v>
      </x:c>
      <x:c r="D4" s="6" t="str">
        <x:v>Semana 5</x:v>
      </x:c>
      <x:c r="E4" s="6" t="str">
        <x:v>40m</x:v>
      </x:c>
      <x:c r="F4" s="6" t="str">
        <x:v>Implementada en código</x:v>
      </x:c>
      <x:c r="G4" s="6" t="str">
        <x:v>Excluir de nueva capacidad</x:v>
      </x:c>
      <x:c r="H4" s="7" t="str">
        <x:v>Controller, servicio, modelo o migración presente en el repositorio.</x:v>
      </x:c>
      <x:c r="I4" s="6" t="str">
        <x:v>src/TenantIdentityService/Controllers/UsuarioController.cs; TenantConfigController.cs</x:v>
      </x:c>
    </x:row>
    <x:row r="5" ht="40" customHeight="1">
      <x:c r="A5" s="6" t="n">
        <x:v>5</x:v>
      </x:c>
      <x:c r="B5" s="7" t="str">
        <x:v>Implementar `PUT /users/{id}`: Editar datos básicos de usuario.</x:v>
      </x:c>
      <x:c r="C5" s="6" t="str">
        <x:v>msanhueza2024</x:v>
      </x:c>
      <x:c r="D5" s="6" t="str">
        <x:v>Semana 5</x:v>
      </x:c>
      <x:c r="E5" s="6" t="str">
        <x:v>40m</x:v>
      </x:c>
      <x:c r="F5" s="6" t="str">
        <x:v>Implementada en código</x:v>
      </x:c>
      <x:c r="G5" s="6" t="str">
        <x:v>Excluir de nueva capacidad</x:v>
      </x:c>
      <x:c r="H5" s="7" t="str">
        <x:v>Controller, servicio, modelo o migración presente en el repositorio.</x:v>
      </x:c>
      <x:c r="I5" s="6" t="str">
        <x:v>src/TenantIdentityService/Controllers/UsuarioController.cs; TenantConfigController.cs</x:v>
      </x:c>
    </x:row>
    <x:row r="6" ht="40" customHeight="1">
      <x:c r="A6" s="6" t="n">
        <x:v>6</x:v>
      </x:c>
      <x:c r="B6" s="7" t="str">
        <x:v>Implementar `DELETE /users/{id}`: Soft delete (Activo = false).</x:v>
      </x:c>
      <x:c r="C6" s="6" t="str">
        <x:v>msanhueza2024</x:v>
      </x:c>
      <x:c r="D6" s="6" t="str">
        <x:v>Semana 5</x:v>
      </x:c>
      <x:c r="E6" s="6" t="str">
        <x:v>30m</x:v>
      </x:c>
      <x:c r="F6" s="6" t="str">
        <x:v>Implementada en código</x:v>
      </x:c>
      <x:c r="G6" s="6" t="str">
        <x:v>Excluir de nueva capacidad</x:v>
      </x:c>
      <x:c r="H6" s="7" t="str">
        <x:v>Controller, servicio, modelo o migración presente en el repositorio.</x:v>
      </x:c>
      <x:c r="I6" s="6" t="str">
        <x:v>src/TenantIdentityService/Controllers/UsuarioController.cs; TenantConfigController.cs</x:v>
      </x:c>
    </x:row>
    <x:row r="7" ht="40" customHeight="1">
      <x:c r="A7" s="6" t="n">
        <x:v>7</x:v>
      </x:c>
      <x:c r="B7" s="7" t="str">
        <x:v>Implementar `POST /users/{id}/roles`: Recibir array de IDs de roles, limpiar roles actuales y asignar nuevos.</x:v>
      </x:c>
      <x:c r="C7" s="6" t="str">
        <x:v>msanhueza2024</x:v>
      </x:c>
      <x:c r="D7" s="6" t="str">
        <x:v>Semana 5</x:v>
      </x:c>
      <x:c r="E7" s="6" t="str">
        <x:v>50m</x:v>
      </x:c>
      <x:c r="F7" s="6" t="str">
        <x:v>Implementada en código</x:v>
      </x:c>
      <x:c r="G7" s="6" t="str">
        <x:v>Excluir de nueva capacidad</x:v>
      </x:c>
      <x:c r="H7" s="7" t="str">
        <x:v>Controller, servicio, modelo o migración presente en el repositorio.</x:v>
      </x:c>
      <x:c r="I7" s="6" t="str">
        <x:v>src/TenantIdentityService/Controllers/UsuarioController.cs; TenantConfigController.cs</x:v>
      </x:c>
    </x:row>
    <x:row r="8" ht="40" customHeight="1">
      <x:c r="A8" s="6" t="n">
        <x:v>8</x:v>
      </x:c>
      <x:c r="B8" s="7" t="str">
        <x:v>Pruebas manuales Postman: flujo completo de creación de usuario y asignación de rol.</x:v>
      </x:c>
      <x:c r="C8" s="6" t="str">
        <x:v>msanhueza2024</x:v>
      </x:c>
      <x:c r="D8" s="6" t="str">
        <x:v>Semana 5</x:v>
      </x:c>
      <x:c r="E8" s="6" t="str">
        <x:v>50m</x:v>
      </x:c>
      <x:c r="F8" s="6" t="str">
        <x:v>No verificada</x:v>
      </x:c>
      <x:c r="G8" s="6" t="str">
        <x:v>No contar como completada</x:v>
      </x:c>
      <x:c r="H8" s="7" t="str">
        <x:v>La tarea pide prueba manual o evidencia de ejecución no disponible en el repositorio.</x:v>
      </x:c>
      <x:c r="I8" s="6" t="str">
        <x:v>[NO VERIFICADO] requiere registro de ejecución o revisión manual; el código no demuestra el cierre.</x:v>
      </x:c>
    </x:row>
    <x:row r="9" ht="40" customHeight="1">
      <x:c r="A9" s="6" t="n">
        <x:v>9</x:v>
      </x:c>
      <x:c r="B9" s="7" t="str">
        <x:v>MS-1: Implementar `PUT /tenants/{id}/config`: Validar que usuario es Admin y del mismo tenant.</x:v>
      </x:c>
      <x:c r="C9" s="6" t="str">
        <x:v>nmartinez2024</x:v>
      </x:c>
      <x:c r="D9" s="6" t="str">
        <x:v>Semana 5</x:v>
      </x:c>
      <x:c r="E9" s="6" t="str">
        <x:v>50m</x:v>
      </x:c>
      <x:c r="F9" s="6" t="str">
        <x:v>Implementada en código</x:v>
      </x:c>
      <x:c r="G9" s="6" t="str">
        <x:v>Excluir de nueva capacidad</x:v>
      </x:c>
      <x:c r="H9" s="7" t="str">
        <x:v>Controller, servicio, modelo o migración presente en el repositorio.</x:v>
      </x:c>
      <x:c r="I9" s="6" t="str">
        <x:v>src/TenantIdentityService/Controllers/UsuarioController.cs; TenantConfigController.cs</x:v>
      </x:c>
    </x:row>
    <x:row r="10" ht="40" customHeight="1">
      <x:c r="A10" s="6" t="n">
        <x:v>10</x:v>
      </x:c>
      <x:c r="B10" s="7" t="str">
        <x:v>MS-1: Actualizar campos Moneda, Idioma, ZonaHoraria, PorcentajeIva.</x:v>
      </x:c>
      <x:c r="C10" s="6" t="str">
        <x:v>nmartinez2024</x:v>
      </x:c>
      <x:c r="D10" s="6" t="str">
        <x:v>Semana 5</x:v>
      </x:c>
      <x:c r="E10" s="6" t="str">
        <x:v>40m</x:v>
      </x:c>
      <x:c r="F10" s="6" t="str">
        <x:v>Implementada en código</x:v>
      </x:c>
      <x:c r="G10" s="6" t="str">
        <x:v>Excluir de nueva capacidad</x:v>
      </x:c>
      <x:c r="H10" s="7" t="str">
        <x:v>Controller, servicio, modelo o migración presente en el repositorio.</x:v>
      </x:c>
      <x:c r="I10" s="6" t="str">
        <x:v>src/TenantIdentityService/Controllers/UsuarioController.cs; TenantConfigController.cs</x:v>
      </x:c>
    </x:row>
    <x:row r="11" ht="40" customHeight="1">
      <x:c r="A11" s="6" t="n">
        <x:v>11</x:v>
      </x:c>
      <x:c r="B11" s="7" t="str">
        <x:v>MS-2: Crear `TenantMiddleware` copiándolo de MS-1 para extraer `tenant_id` del JWT.</x:v>
      </x:c>
      <x:c r="C11" s="6" t="str">
        <x:v>nmartinez2024</x:v>
      </x:c>
      <x:c r="D11" s="6" t="str">
        <x:v>Semana 5</x:v>
      </x:c>
      <x:c r="E11" s="6" t="str">
        <x:v>50m</x:v>
      </x:c>
      <x:c r="F11" s="6" t="str">
        <x:v>Implementada en código</x:v>
      </x:c>
      <x:c r="G11" s="6" t="str">
        <x:v>Excluir de nueva capacidad</x:v>
      </x:c>
      <x:c r="H11" s="7" t="str">
        <x:v>Controller, servicio, modelo o migración presente en el repositorio.</x:v>
      </x:c>
      <x:c r="I11" s="6" t="str">
        <x:v>src/TenantIdentityService/Controllers/UsuarioController.cs; TenantConfigController.cs</x:v>
      </x:c>
    </x:row>
    <x:row r="12" ht="40" customHeight="1">
      <x:c r="A12" s="6" t="n">
        <x:v>12</x:v>
      </x:c>
      <x:c r="B12" s="7" t="str">
        <x:v>MS-2: Registrar `TenantMiddleware` en `Program.cs` para habilitar query filters de EF Core.</x:v>
      </x:c>
      <x:c r="C12" s="6" t="str">
        <x:v>nmartinez2024</x:v>
      </x:c>
      <x:c r="D12" s="6" t="str">
        <x:v>Semana 5</x:v>
      </x:c>
      <x:c r="E12" s="6" t="str">
        <x:v>30m</x:v>
      </x:c>
      <x:c r="F12" s="6" t="str">
        <x:v>Implementada en código</x:v>
      </x:c>
      <x:c r="G12" s="6" t="str">
        <x:v>Excluir de nueva capacidad</x:v>
      </x:c>
      <x:c r="H12" s="7" t="str">
        <x:v>Controller, servicio, modelo o migración presente en el repositorio.</x:v>
      </x:c>
      <x:c r="I12" s="6" t="str">
        <x:v>src/TenantIdentityService/Controllers/UsuarioController.cs; TenantConfigController.cs</x:v>
      </x:c>
    </x:row>
    <x:row r="13" ht="40" customHeight="1">
      <x:c r="A13" s="6" t="n">
        <x:v>13</x:v>
      </x:c>
      <x:c r="B13" s="7" t="str">
        <x:v>MS-2: Refactorizar `TaxController` para remover validación manual de tenant usando el middleware.</x:v>
      </x:c>
      <x:c r="C13" s="6" t="str">
        <x:v>nmartinez2024</x:v>
      </x:c>
      <x:c r="D13" s="6" t="str">
        <x:v>Semana 5</x:v>
      </x:c>
      <x:c r="E13" s="6" t="str">
        <x:v>40m</x:v>
      </x:c>
      <x:c r="F13" s="6" t="str">
        <x:v>Implementada en código</x:v>
      </x:c>
      <x:c r="G13" s="6" t="str">
        <x:v>Excluir de nueva capacidad</x:v>
      </x:c>
      <x:c r="H13" s="7" t="str">
        <x:v>Controller, servicio, modelo o migración presente en el repositorio.</x:v>
      </x:c>
      <x:c r="I13" s="6" t="str">
        <x:v>src/TaxComplianceService/Controllers/TaxController.cs</x:v>
      </x:c>
    </x:row>
    <x:row r="14" ht="40" customHeight="1">
      <x:c r="A14" s="6" t="n">
        <x:v>14</x:v>
      </x:c>
      <x:c r="B14" s="7" t="str">
        <x:v>Pruebas Postman: Actualizar config en MS-1 y verificar que `/tax/calculate` en MS-2 usa el nuevo IVA.</x:v>
      </x:c>
      <x:c r="C14" s="6" t="str">
        <x:v>nmartinez2024</x:v>
      </x:c>
      <x:c r="D14" s="6" t="str">
        <x:v>Semana 5</x:v>
      </x:c>
      <x:c r="E14" s="6" t="str">
        <x:v>50m</x:v>
      </x:c>
      <x:c r="F14" s="6" t="str">
        <x:v>No verificada</x:v>
      </x:c>
      <x:c r="G14" s="6" t="str">
        <x:v>No contar como completada</x:v>
      </x:c>
      <x:c r="H14" s="7" t="str">
        <x:v>La tarea pide prueba manual o evidencia de ejecución no disponible en el repositorio.</x:v>
      </x:c>
      <x:c r="I14" s="6" t="str">
        <x:v>[NO VERIFICADO] requiere registro de ejecución o revisión manual; el código no demuestra el cierre.</x:v>
      </x:c>
    </x:row>
    <x:row r="15" ht="40" customHeight="1">
      <x:c r="A15" s="6" t="n">
        <x:v>15</x:v>
      </x:c>
      <x:c r="B15" s="7" t="str">
        <x:v>Revisión seguridad: Verificar expiración de JWT en ambos servicios.</x:v>
      </x:c>
      <x:c r="C15" s="6" t="str">
        <x:v>nmartinez2024</x:v>
      </x:c>
      <x:c r="D15" s="6" t="str">
        <x:v>Semana 5</x:v>
      </x:c>
      <x:c r="E15" s="6" t="str">
        <x:v>40m</x:v>
      </x:c>
      <x:c r="F15" s="6" t="str">
        <x:v>No verificada</x:v>
      </x:c>
      <x:c r="G15" s="6" t="str">
        <x:v>No contar como completada</x:v>
      </x:c>
      <x:c r="H15" s="7" t="str">
        <x:v>La tarea pide prueba manual o evidencia de ejecución no disponible en el repositorio.</x:v>
      </x:c>
      <x:c r="I15" s="6" t="str">
        <x:v>[NO VERIFICADO] requiere registro de ejecución o revisión manual; el código no demuestra el cierre.</x:v>
      </x:c>
    </x:row>
    <x:row r="16" ht="40" customHeight="1">
      <x:c r="A16" s="6" t="n">
        <x:v>16</x:v>
      </x:c>
      <x:c r="B16" s="7" t="str">
        <x:v>Definir interfaz `IPaymentGatewayClient` y DTOs para envío/respuesta de pagos.</x:v>
      </x:c>
      <x:c r="C16" s="6" t="str">
        <x:v>admin</x:v>
      </x:c>
      <x:c r="D16" s="6" t="str">
        <x:v>Semana 5</x:v>
      </x:c>
      <x:c r="E16" s="6" t="str">
        <x:v>40m</x:v>
      </x:c>
      <x:c r="F16" s="6" t="str">
        <x:v>Pendiente y alineada</x:v>
      </x:c>
      <x:c r="G16" s="6" t="str">
        <x:v>Replanificar en tareas nuevas</x:v>
      </x:c>
      <x:c r="H16" s="7" t="str">
        <x:v>La necesidad sigue vigente para Admin, POS, pagos o simuladores.</x:v>
      </x:c>
      <x:c r="I16" s="6" t="str">
        <x:v>docs/context/estado-actual.md; docs/context/planificacion/roadmap.md; inspección estática del código</x:v>
      </x:c>
    </x:row>
    <x:row r="17" ht="40" customHeight="1">
      <x:c r="A17" s="6" t="n">
        <x:v>17</x:v>
      </x:c>
      <x:c r="B17" s="7" t="str">
        <x:v>Implementar `PaymentGatewayClient` usando `HttpClient` (mock hacia pasarela externa).</x:v>
      </x:c>
      <x:c r="C17" s="6" t="str">
        <x:v>admin</x:v>
      </x:c>
      <x:c r="D17" s="6" t="str">
        <x:v>Semana 5</x:v>
      </x:c>
      <x:c r="E17" s="6" t="str">
        <x:v>50m</x:v>
      </x:c>
      <x:c r="F17" s="6" t="str">
        <x:v>Pendiente y alineada</x:v>
      </x:c>
      <x:c r="G17" s="6" t="str">
        <x:v>Replanificar en tareas nuevas</x:v>
      </x:c>
      <x:c r="H17" s="7" t="str">
        <x:v>La necesidad sigue vigente para Admin, POS, pagos o simuladores.</x:v>
      </x:c>
      <x:c r="I17" s="6" t="str">
        <x:v>docs/context/estado-actual.md; docs/context/planificacion/roadmap.md; inspección estática del código</x:v>
      </x:c>
    </x:row>
    <x:row r="18" ht="40" customHeight="1">
      <x:c r="A18" s="6" t="n">
        <x:v>18</x:v>
      </x:c>
      <x:c r="B18" s="7" t="str">
        <x:v>Configurar políticas Polly (retries/timeout) en `PaymentGatewayClient` en `Program.cs`.</x:v>
      </x:c>
      <x:c r="C18" s="6" t="str">
        <x:v>admin</x:v>
      </x:c>
      <x:c r="D18" s="6" t="str">
        <x:v>Semana 5</x:v>
      </x:c>
      <x:c r="E18" s="6" t="str">
        <x:v>40m</x:v>
      </x:c>
      <x:c r="F18" s="6" t="str">
        <x:v>Pendiente y alineada</x:v>
      </x:c>
      <x:c r="G18" s="6" t="str">
        <x:v>Replanificar en tareas nuevas</x:v>
      </x:c>
      <x:c r="H18" s="7" t="str">
        <x:v>La necesidad sigue vigente para Admin, POS, pagos o simuladores.</x:v>
      </x:c>
      <x:c r="I18" s="6" t="str">
        <x:v>docs/context/estado-actual.md; docs/context/planificacion/roadmap.md; inspección estática del código</x:v>
      </x:c>
    </x:row>
    <x:row r="19" ht="40" customHeight="1">
      <x:c r="A19" s="6" t="n">
        <x:v>19</x:v>
      </x:c>
      <x:c r="B19" s="7" t="str">
        <x:v>Implementar `POST /ventas/{id}/cobrar-tarjeta`: Validar estado de la venta.</x:v>
      </x:c>
      <x:c r="C19" s="6" t="str">
        <x:v>admin</x:v>
      </x:c>
      <x:c r="D19" s="6" t="str">
        <x:v>Semana 5</x:v>
      </x:c>
      <x:c r="E19" s="6" t="str">
        <x:v>40m</x:v>
      </x:c>
      <x:c r="F19" s="6" t="str">
        <x:v>Pendiente y alineada</x:v>
      </x:c>
      <x:c r="G19" s="6" t="str">
        <x:v>Replanificar en tareas nuevas</x:v>
      </x:c>
      <x:c r="H19" s="7" t="str">
        <x:v>La necesidad sigue vigente para Admin, POS, pagos o simuladores.</x:v>
      </x:c>
      <x:c r="I19" s="6" t="str">
        <x:v>docs/context/estado-actual.md; docs/context/planificacion/roadmap.md; inspección estática del código</x:v>
      </x:c>
    </x:row>
    <x:row r="20" ht="40" customHeight="1">
      <x:c r="A20" s="6" t="n">
        <x:v>20</x:v>
      </x:c>
      <x:c r="B20" s="7" t="str">
        <x:v>Lógica de cobro: Llamar a pasarela, manejar fallos de conexión.</x:v>
      </x:c>
      <x:c r="C20" s="6" t="str">
        <x:v>admin</x:v>
      </x:c>
      <x:c r="D20" s="6" t="str">
        <x:v>Semana 5</x:v>
      </x:c>
      <x:c r="E20" s="6" t="str">
        <x:v>40m</x:v>
      </x:c>
      <x:c r="F20" s="6" t="str">
        <x:v>Pendiente y alineada</x:v>
      </x:c>
      <x:c r="G20" s="6" t="str">
        <x:v>Replanificar en tareas nuevas</x:v>
      </x:c>
      <x:c r="H20" s="7" t="str">
        <x:v>La necesidad sigue vigente para Admin, POS, pagos o simuladores.</x:v>
      </x:c>
      <x:c r="I20" s="6" t="str">
        <x:v>docs/context/estado-actual.md; docs/context/planificacion/roadmap.md; inspección estática del código</x:v>
      </x:c>
    </x:row>
    <x:row r="21" ht="40" customHeight="1">
      <x:c r="A21" s="6" t="n">
        <x:v>21</x:v>
      </x:c>
      <x:c r="B21" s="7" t="str">
        <x:v>Lógica de cobro: Si aprueba -&gt; COMPLETADA, generar evento Kafka `sale.completed`.</x:v>
      </x:c>
      <x:c r="C21" s="6" t="str">
        <x:v>admin</x:v>
      </x:c>
      <x:c r="D21" s="6" t="str">
        <x:v>Semana 5</x:v>
      </x:c>
      <x:c r="E21" s="6" t="str">
        <x:v>50m</x:v>
      </x:c>
      <x:c r="F21" s="6" t="str">
        <x:v>Pendiente y alineada</x:v>
      </x:c>
      <x:c r="G21" s="6" t="str">
        <x:v>Replanificar en tareas nuevas</x:v>
      </x:c>
      <x:c r="H21" s="7" t="str">
        <x:v>La necesidad sigue vigente para Admin, POS, pagos o simuladores.</x:v>
      </x:c>
      <x:c r="I21" s="6" t="str">
        <x:v>docs/context/estado-actual.md; docs/context/planificacion/roadmap.md; inspección estática del código</x:v>
      </x:c>
    </x:row>
    <x:row r="22" ht="40" customHeight="1">
      <x:c r="A22" s="6" t="n">
        <x:v>22</x:v>
      </x:c>
      <x:c r="B22" s="7" t="str">
        <x:v>Lógica de cobro: Si rechaza -&gt; Retornar error al frontend, mantener estado PENDIENTE.</x:v>
      </x:c>
      <x:c r="C22" s="6" t="str">
        <x:v>admin</x:v>
      </x:c>
      <x:c r="D22" s="6" t="str">
        <x:v>Semana 5</x:v>
      </x:c>
      <x:c r="E22" s="6" t="str">
        <x:v>40m</x:v>
      </x:c>
      <x:c r="F22" s="6" t="str">
        <x:v>Pendiente y alineada</x:v>
      </x:c>
      <x:c r="G22" s="6" t="str">
        <x:v>Replanificar en tareas nuevas</x:v>
      </x:c>
      <x:c r="H22" s="7" t="str">
        <x:v>La necesidad sigue vigente para Admin, POS, pagos o simuladores.</x:v>
      </x:c>
      <x:c r="I22" s="6" t="str">
        <x:v>docs/context/estado-actual.md; docs/context/planificacion/roadmap.md; inspección estática del código</x:v>
      </x:c>
    </x:row>
    <x:row r="23" ht="40" customHeight="1">
      <x:c r="A23" s="6" t="n">
        <x:v>23</x:v>
      </x:c>
      <x:c r="B23" s="7" t="str">
        <x:v>Crear vista `UsuariosList`: Tabla con lista de usuarios (nombre, email, roles).</x:v>
      </x:c>
      <x:c r="C23" s="6" t="str">
        <x:v>dprado2024</x:v>
      </x:c>
      <x:c r="D23" s="6" t="str">
        <x:v>Semana 5</x:v>
      </x:c>
      <x:c r="E23" s="6" t="str">
        <x:v>50m</x:v>
      </x:c>
      <x:c r="F23" s="6" t="str">
        <x:v>Implementada en código</x:v>
      </x:c>
      <x:c r="G23" s="6" t="str">
        <x:v>Excluir de nueva capacidad</x:v>
      </x:c>
      <x:c r="H23" s="7" t="str">
        <x:v>Controller, servicio, modelo o migración presente en el repositorio.</x:v>
      </x:c>
      <x:c r="I23" s="6" t="str">
        <x:v>globalmart-frontend/src/pages/Admin.tsx; components/admin/UsuariosList.tsx; TenantConfig.tsx</x:v>
      </x:c>
    </x:row>
    <x:row r="24" ht="40" customHeight="1">
      <x:c r="A24" s="6" t="n">
        <x:v>24</x:v>
      </x:c>
      <x:c r="B24" s="7" t="str">
        <x:v>Conectar tabla con `GET /users` de MS-1.</x:v>
      </x:c>
      <x:c r="C24" s="6" t="str">
        <x:v>dprado2024</x:v>
      </x:c>
      <x:c r="D24" s="6" t="str">
        <x:v>Semana 5</x:v>
      </x:c>
      <x:c r="E24" s="6" t="str">
        <x:v>40m</x:v>
      </x:c>
      <x:c r="F24" s="6" t="str">
        <x:v>Implementada en código</x:v>
      </x:c>
      <x:c r="G24" s="6" t="str">
        <x:v>Excluir de nueva capacidad</x:v>
      </x:c>
      <x:c r="H24" s="7" t="str">
        <x:v>Controller, servicio, modelo o migración presente en el repositorio.</x:v>
      </x:c>
      <x:c r="I24" s="6" t="str">
        <x:v>globalmart-frontend/src/pages/Admin.tsx; components/admin/UsuariosList.tsx; TenantConfig.tsx</x:v>
      </x:c>
    </x:row>
    <x:row r="25" ht="40" customHeight="1">
      <x:c r="A25" s="6" t="n">
        <x:v>25</x:v>
      </x:c>
      <x:c r="B25" s="7" t="str">
        <x:v>Crear modal `CrearUsuarioModal`: Inputs y validación frontend.</x:v>
      </x:c>
      <x:c r="C25" s="6" t="str">
        <x:v>dprado2024</x:v>
      </x:c>
      <x:c r="D25" s="6" t="str">
        <x:v>Semana 5</x:v>
      </x:c>
      <x:c r="E25" s="6" t="str">
        <x:v>45m</x:v>
      </x:c>
      <x:c r="F25" s="6" t="str">
        <x:v>Implementada en código</x:v>
      </x:c>
      <x:c r="G25" s="6" t="str">
        <x:v>Excluir de nueva capacidad</x:v>
      </x:c>
      <x:c r="H25" s="7" t="str">
        <x:v>Controller, servicio, modelo o migración presente en el repositorio.</x:v>
      </x:c>
      <x:c r="I25" s="6" t="str">
        <x:v>globalmart-frontend/src/pages/Admin.tsx; components/admin/UsuariosList.tsx; TenantConfig.tsx</x:v>
      </x:c>
    </x:row>
    <x:row r="26" ht="40" customHeight="1">
      <x:c r="A26" s="6" t="n">
        <x:v>26</x:v>
      </x:c>
      <x:c r="B26" s="7" t="str">
        <x:v>Conectar formulario con `POST /users` de MS-1.</x:v>
      </x:c>
      <x:c r="C26" s="6" t="str">
        <x:v>dprado2024</x:v>
      </x:c>
      <x:c r="D26" s="6" t="str">
        <x:v>Semana 5</x:v>
      </x:c>
      <x:c r="E26" s="6" t="str">
        <x:v>45m</x:v>
      </x:c>
      <x:c r="F26" s="6" t="str">
        <x:v>Implementada en código</x:v>
      </x:c>
      <x:c r="G26" s="6" t="str">
        <x:v>Excluir de nueva capacidad</x:v>
      </x:c>
      <x:c r="H26" s="7" t="str">
        <x:v>Controller, servicio, modelo o migración presente en el repositorio.</x:v>
      </x:c>
      <x:c r="I26" s="6" t="str">
        <x:v>globalmart-frontend/src/pages/Admin.tsx; components/admin/UsuariosList.tsx; TenantConfig.tsx</x:v>
      </x:c>
    </x:row>
    <x:row r="27" ht="40" customHeight="1">
      <x:c r="A27" s="6" t="n">
        <x:v>27</x:v>
      </x:c>
      <x:c r="B27" s="7" t="str">
        <x:v>Crear vista `TenantConfig`: Formulario para IVA, Moneda, Zona Horaria.</x:v>
      </x:c>
      <x:c r="C27" s="6" t="str">
        <x:v>dprado2024</x:v>
      </x:c>
      <x:c r="D27" s="6" t="str">
        <x:v>Semana 5</x:v>
      </x:c>
      <x:c r="E27" s="6" t="str">
        <x:v>50m</x:v>
      </x:c>
      <x:c r="F27" s="6" t="str">
        <x:v>Implementada en código</x:v>
      </x:c>
      <x:c r="G27" s="6" t="str">
        <x:v>Excluir de nueva capacidad</x:v>
      </x:c>
      <x:c r="H27" s="7" t="str">
        <x:v>Controller, servicio, modelo o migración presente en el repositorio.</x:v>
      </x:c>
      <x:c r="I27" s="6" t="str">
        <x:v>globalmart-frontend/src/pages/Admin.tsx; components/admin/UsuariosList.tsx; TenantConfig.tsx</x:v>
      </x:c>
    </x:row>
    <x:row r="28" ht="40" customHeight="1">
      <x:c r="A28" s="6" t="n">
        <x:v>28</x:v>
      </x:c>
      <x:c r="B28" s="7" t="str">
        <x:v>Conectar `TenantConfig` con `PUT /tenants/{id}/config`.</x:v>
      </x:c>
      <x:c r="C28" s="6" t="str">
        <x:v>dprado2024</x:v>
      </x:c>
      <x:c r="D28" s="6" t="str">
        <x:v>Semana 5</x:v>
      </x:c>
      <x:c r="E28" s="6" t="str">
        <x:v>40m</x:v>
      </x:c>
      <x:c r="F28" s="6" t="str">
        <x:v>Parcial</x:v>
      </x:c>
      <x:c r="G28" s="6" t="str">
        <x:v>Completar o corregir</x:v>
      </x:c>
      <x:c r="H28" s="7" t="str">
        <x:v>Existe base funcional, pero faltan acciones o falla la comprobación de tipos/alcance.</x:v>
      </x:c>
      <x:c r="I28" s="6" t="str">
        <x:v>globalmart-frontend/src/pages/Admin.tsx; components/admin/UsuariosList.tsx; TenantConfig.tsx</x:v>
      </x:c>
    </x:row>
    <x:row r="29" ht="40" customHeight="1">
      <x:c r="A29" s="6" t="n">
        <x:v>29</x:v>
      </x:c>
      <x:c r="B29" s="7" t="str">
        <x:v>Manejo de errores y spinners de carga en ambas vistas.</x:v>
      </x:c>
      <x:c r="C29" s="6" t="str">
        <x:v>dprado2024</x:v>
      </x:c>
      <x:c r="D29" s="6" t="str">
        <x:v>Semana 5</x:v>
      </x:c>
      <x:c r="E29" s="6" t="str">
        <x:v>30m</x:v>
      </x:c>
      <x:c r="F29" s="6" t="str">
        <x:v>Parcial</x:v>
      </x:c>
      <x:c r="G29" s="6" t="str">
        <x:v>Completar o corregir</x:v>
      </x:c>
      <x:c r="H29" s="7" t="str">
        <x:v>Existe base funcional, pero faltan acciones o falla la comprobación de tipos/alcance.</x:v>
      </x:c>
      <x:c r="I29" s="6" t="str">
        <x:v>globalmart-frontend/src/pages/Admin.tsx; components/admin/UsuariosList.tsx; TenantConfig.tsx</x:v>
      </x:c>
    </x:row>
    <x:row r="30" ht="40" customHeight="1">
      <x:c r="A30" s="6" t="n">
        <x:v>30</x:v>
      </x:c>
      <x:c r="B30" s="7" t="str">
        <x:v>Crear modelo `Lote`: id, producto_id, cantidad, fecha_vencimiento, tenant_id.</x:v>
      </x:c>
      <x:c r="C30" s="6" t="str">
        <x:v>dleiva2024</x:v>
      </x:c>
      <x:c r="D30" s="6" t="str">
        <x:v>Semana 5</x:v>
      </x:c>
      <x:c r="E30" s="6" t="str">
        <x:v>40m</x:v>
      </x:c>
      <x:c r="F30" s="6" t="str">
        <x:v>Implementada en código</x:v>
      </x:c>
      <x:c r="G30" s="6" t="str">
        <x:v>Excluir de nueva capacidad</x:v>
      </x:c>
      <x:c r="H30" s="7" t="str">
        <x:v>Controller, servicio, modelo o migración presente en el repositorio.</x:v>
      </x:c>
      <x:c r="I30" s="6" t="str">
        <x:v>src/WarehouseInventoryService/Models/Lote.cs; Data/Migrations/</x:v>
      </x:c>
    </x:row>
    <x:row r="31" ht="40" customHeight="1">
      <x:c r="A31" s="6" t="n">
        <x:v>31</x:v>
      </x:c>
      <x:c r="B31" s="7" t="str">
        <x:v>Migración EF Core: Crear tabla `Lotes` y aplicar a PostgreSQL.</x:v>
      </x:c>
      <x:c r="C31" s="6" t="str">
        <x:v>dleiva2024</x:v>
      </x:c>
      <x:c r="D31" s="6" t="str">
        <x:v>Semana 5</x:v>
      </x:c>
      <x:c r="E31" s="6" t="str">
        <x:v>40m</x:v>
      </x:c>
      <x:c r="F31" s="6" t="str">
        <x:v>Implementada en código</x:v>
      </x:c>
      <x:c r="G31" s="6" t="str">
        <x:v>Excluir de nueva capacidad</x:v>
      </x:c>
      <x:c r="H31" s="7" t="str">
        <x:v>Controller, servicio, modelo o migración presente en el repositorio.</x:v>
      </x:c>
      <x:c r="I31" s="6" t="str">
        <x:v>src/WarehouseInventoryService/Models/Lote.cs; Data/Migrations/</x:v>
      </x:c>
    </x:row>
    <x:row r="32" ht="40" customHeight="1">
      <x:c r="A32" s="6" t="n">
        <x:v>32</x:v>
      </x:c>
      <x:c r="B32" s="7" t="str">
        <x:v>Actualizar `POST /seed`: Generar lotes con fechas de vencimiento variables.</x:v>
      </x:c>
      <x:c r="C32" s="6" t="str">
        <x:v>dleiva2024</x:v>
      </x:c>
      <x:c r="D32" s="6" t="str">
        <x:v>Semana 5</x:v>
      </x:c>
      <x:c r="E32" s="6" t="str">
        <x:v>50m</x:v>
      </x:c>
      <x:c r="F32" s="6" t="str">
        <x:v>Reformular</x:v>
      </x:c>
      <x:c r="G32" s="6" t="str">
        <x:v>Reemplazar por tarea acotada</x:v>
      </x:c>
      <x:c r="H32" s="7" t="str">
        <x:v>El endpoint, dependencia o alcance supuesto no coincide con el código o las cinco metas.</x:v>
      </x:c>
      <x:c r="I32" s="6" t="str">
        <x:v>docs/context/estado-actual.md; docs/context/planificacion/roadmap.md; inspección estática del código</x:v>
      </x:c>
    </x:row>
    <x:row r="33" ht="40" customHeight="1">
      <x:c r="A33" s="6" t="n">
        <x:v>33</x:v>
      </x:c>
      <x:c r="B33" s="7" t="str">
        <x:v>Refactorizar `StockRepository.Descontar`: Buscar lotes del producto ordenados por `fecha_vencimiento` ASC.</x:v>
      </x:c>
      <x:c r="C33" s="6" t="str">
        <x:v>dleiva2024</x:v>
      </x:c>
      <x:c r="D33" s="6" t="str">
        <x:v>Semana 5</x:v>
      </x:c>
      <x:c r="E33" s="6" t="str">
        <x:v>50m</x:v>
      </x:c>
      <x:c r="F33" s="6" t="str">
        <x:v>Reformular</x:v>
      </x:c>
      <x:c r="G33" s="6" t="str">
        <x:v>Reemplazar por tarea acotada</x:v>
      </x:c>
      <x:c r="H33" s="7" t="str">
        <x:v>El endpoint, dependencia o alcance supuesto no coincide con el código o las cinco metas.</x:v>
      </x:c>
      <x:c r="I33" s="6" t="str">
        <x:v>docs/context/estado-actual.md; docs/context/planificacion/roadmap.md; inspección estática del código</x:v>
      </x:c>
    </x:row>
    <x:row r="34" ht="40" customHeight="1">
      <x:c r="A34" s="6" t="n">
        <x:v>34</x:v>
      </x:c>
      <x:c r="B34" s="7" t="str">
        <x:v>Lógica FEFO: Descontar cantidad iterando sobre lotes (pasar al siguiente si uno se vacía) hasta cubrir la venta.</x:v>
      </x:c>
      <x:c r="C34" s="6" t="str">
        <x:v>dleiva2024</x:v>
      </x:c>
      <x:c r="D34" s="6" t="str">
        <x:v>Semana 5</x:v>
      </x:c>
      <x:c r="E34" s="6" t="str">
        <x:v>60m</x:v>
      </x:c>
      <x:c r="F34" s="6" t="str">
        <x:v>Reformular</x:v>
      </x:c>
      <x:c r="G34" s="6" t="str">
        <x:v>Reemplazar por tarea acotada</x:v>
      </x:c>
      <x:c r="H34" s="7" t="str">
        <x:v>El endpoint, dependencia o alcance supuesto no coincide con el código o las cinco metas.</x:v>
      </x:c>
      <x:c r="I34" s="6" t="str">
        <x:v>docs/context/estado-actual.md; docs/context/planificacion/roadmap.md; inspección estática del código</x:v>
      </x:c>
    </x:row>
    <x:row r="35" ht="40" customHeight="1">
      <x:c r="A35" s="6" t="n">
        <x:v>35</x:v>
      </x:c>
      <x:c r="B35" s="7" t="str">
        <x:v>Actualizar consumidor Kafka `sale.completed`: Llamar al nuevo método FEFO.</x:v>
      </x:c>
      <x:c r="C35" s="6" t="str">
        <x:v>dleiva2024</x:v>
      </x:c>
      <x:c r="D35" s="6" t="str">
        <x:v>Semana 5</x:v>
      </x:c>
      <x:c r="E35" s="6" t="str">
        <x:v>30m</x:v>
      </x:c>
      <x:c r="F35" s="6" t="str">
        <x:v>Reformular</x:v>
      </x:c>
      <x:c r="G35" s="6" t="str">
        <x:v>Reemplazar por tarea acotada</x:v>
      </x:c>
      <x:c r="H35" s="7" t="str">
        <x:v>El endpoint, dependencia o alcance supuesto no coincide con el código o las cinco metas.</x:v>
      </x:c>
      <x:c r="I35" s="6" t="str">
        <x:v>docs/context/estado-actual.md; docs/context/planificacion/roadmap.md; inspección estática del código</x:v>
      </x:c>
    </x:row>
    <x:row r="36" ht="40" customHeight="1">
      <x:c r="A36" s="6" t="n">
        <x:v>36</x:v>
      </x:c>
      <x:c r="B36" s="7" t="str">
        <x:v>Pruebas unitarias de la matemática de descuento entre múltiples lotes.</x:v>
      </x:c>
      <x:c r="C36" s="6" t="str">
        <x:v>dleiva2024</x:v>
      </x:c>
      <x:c r="D36" s="6" t="str">
        <x:v>Semana 5</x:v>
      </x:c>
      <x:c r="E36" s="6" t="str">
        <x:v>30m</x:v>
      </x:c>
      <x:c r="F36" s="6" t="str">
        <x:v>Reformular</x:v>
      </x:c>
      <x:c r="G36" s="6" t="str">
        <x:v>Reemplazar por tarea acotada</x:v>
      </x:c>
      <x:c r="H36" s="7" t="str">
        <x:v>El endpoint, dependencia o alcance supuesto no coincide con el código o las cinco metas.</x:v>
      </x:c>
      <x:c r="I36" s="6" t="str">
        <x:v>docs/context/estado-actual.md; docs/context/planificacion/roadmap.md; inspección estática del código</x:v>
      </x:c>
    </x:row>
    <x:row r="37" ht="40" customHeight="1">
      <x:c r="A37" s="6" t="n">
        <x:v>37</x:v>
      </x:c>
      <x:c r="B37" s="7" t="str">
        <x:v>Crear modal `CobroTarjetaModal` en la vista del POS.</x:v>
      </x:c>
      <x:c r="C37" s="6" t="str">
        <x:v>spereda2024</x:v>
      </x:c>
      <x:c r="D37" s="6" t="str">
        <x:v>Semana 5</x:v>
      </x:c>
      <x:c r="E37" s="6" t="str">
        <x:v>40m</x:v>
      </x:c>
      <x:c r="F37" s="6" t="str">
        <x:v>Pendiente y alineada</x:v>
      </x:c>
      <x:c r="G37" s="6" t="str">
        <x:v>Replanificar en tareas nuevas</x:v>
      </x:c>
      <x:c r="H37" s="7" t="str">
        <x:v>La necesidad sigue vigente para Admin, POS, pagos o simuladores.</x:v>
      </x:c>
      <x:c r="I37" s="6" t="str">
        <x:v>docs/context/estado-actual.md; docs/context/planificacion/roadmap.md; inspección estática del código</x:v>
      </x:c>
    </x:row>
    <x:row r="38" ht="40" customHeight="1">
      <x:c r="A38" s="6" t="n">
        <x:v>38</x:v>
      </x:c>
      <x:c r="B38" s="7" t="str">
        <x:v>UI de estados: Diseñar vistas de "Procesando...", "Aprobado" (verde) y "Rechazado" (rojo).</x:v>
      </x:c>
      <x:c r="C38" s="6" t="str">
        <x:v>spereda2024</x:v>
      </x:c>
      <x:c r="D38" s="6" t="str">
        <x:v>Semana 5</x:v>
      </x:c>
      <x:c r="E38" s="6" t="str">
        <x:v>50m</x:v>
      </x:c>
      <x:c r="F38" s="6" t="str">
        <x:v>Pendiente y alineada</x:v>
      </x:c>
      <x:c r="G38" s="6" t="str">
        <x:v>Replanificar en tareas nuevas</x:v>
      </x:c>
      <x:c r="H38" s="7" t="str">
        <x:v>La necesidad sigue vigente para Admin, POS, pagos o simuladores.</x:v>
      </x:c>
      <x:c r="I38" s="6" t="str">
        <x:v>docs/context/estado-actual.md; docs/context/planificacion/roadmap.md; inspección estática del código</x:v>
      </x:c>
    </x:row>
    <x:row r="39" ht="40" customHeight="1">
      <x:c r="A39" s="6" t="n">
        <x:v>39</x:v>
      </x:c>
      <x:c r="B39" s="7" t="str">
        <x:v>Integrar API: Llamar a `POST /ventas/{id}/cobrar-tarjeta` al confirmar pago.</x:v>
      </x:c>
      <x:c r="C39" s="6" t="str">
        <x:v>spereda2024</x:v>
      </x:c>
      <x:c r="D39" s="6" t="str">
        <x:v>Semana 5</x:v>
      </x:c>
      <x:c r="E39" s="6" t="str">
        <x:v>40m</x:v>
      </x:c>
      <x:c r="F39" s="6" t="str">
        <x:v>Pendiente y alineada</x:v>
      </x:c>
      <x:c r="G39" s="6" t="str">
        <x:v>Replanificar en tareas nuevas</x:v>
      </x:c>
      <x:c r="H39" s="7" t="str">
        <x:v>La necesidad sigue vigente para Admin, POS, pagos o simuladores.</x:v>
      </x:c>
      <x:c r="I39" s="6" t="str">
        <x:v>docs/context/estado-actual.md; docs/context/planificacion/roadmap.md; inspección estática del código</x:v>
      </x:c>
    </x:row>
    <x:row r="40" ht="40" customHeight="1">
      <x:c r="A40" s="6" t="n">
        <x:v>40</x:v>
      </x:c>
      <x:c r="B40" s="7" t="str">
        <x:v>Manejo de éxito: Limpiar carrito, mostrar mensaje, cerrar modal.</x:v>
      </x:c>
      <x:c r="C40" s="6" t="str">
        <x:v>spereda2024</x:v>
      </x:c>
      <x:c r="D40" s="6" t="str">
        <x:v>Semana 5</x:v>
      </x:c>
      <x:c r="E40" s="6" t="str">
        <x:v>50m</x:v>
      </x:c>
      <x:c r="F40" s="6" t="str">
        <x:v>Pendiente y alineada</x:v>
      </x:c>
      <x:c r="G40" s="6" t="str">
        <x:v>Replanificar en tareas nuevas</x:v>
      </x:c>
      <x:c r="H40" s="7" t="str">
        <x:v>La necesidad sigue vigente para Admin, POS, pagos o simuladores.</x:v>
      </x:c>
      <x:c r="I40" s="6" t="str">
        <x:v>docs/context/estado-actual.md; docs/context/planificacion/roadmap.md; inspección estática del código</x:v>
      </x:c>
    </x:row>
    <x:row r="41" ht="40" customHeight="1">
      <x:c r="A41" s="6" t="n">
        <x:v>41</x:v>
      </x:c>
      <x:c r="B41" s="7" t="str">
        <x:v>Manejo de error: Mostrar rechazo, botón "Reintentar" o "Cambiar método".</x:v>
      </x:c>
      <x:c r="C41" s="6" t="str">
        <x:v>spereda2024</x:v>
      </x:c>
      <x:c r="D41" s="6" t="str">
        <x:v>Semana 5</x:v>
      </x:c>
      <x:c r="E41" s="6" t="str">
        <x:v>50m</x:v>
      </x:c>
      <x:c r="F41" s="6" t="str">
        <x:v>Pendiente y alineada</x:v>
      </x:c>
      <x:c r="G41" s="6" t="str">
        <x:v>Replanificar en tareas nuevas</x:v>
      </x:c>
      <x:c r="H41" s="7" t="str">
        <x:v>La necesidad sigue vigente para Admin, POS, pagos o simuladores.</x:v>
      </x:c>
      <x:c r="I41" s="6" t="str">
        <x:v>docs/context/estado-actual.md; docs/context/planificacion/roadmap.md; inspección estática del código</x:v>
      </x:c>
    </x:row>
    <x:row r="42" ht="40" customHeight="1">
      <x:c r="A42" s="6" t="n">
        <x:v>42</x:v>
      </x:c>
      <x:c r="B42" s="7" t="str">
        <x:v>Actualizar botón "Cobrar" principal para ofrecer opciones emergentes (Efectivo/Tarjeta).</x:v>
      </x:c>
      <x:c r="C42" s="6" t="str">
        <x:v>spereda2024</x:v>
      </x:c>
      <x:c r="D42" s="6" t="str">
        <x:v>Semana 5</x:v>
      </x:c>
      <x:c r="E42" s="6" t="str">
        <x:v>40m</x:v>
      </x:c>
      <x:c r="F42" s="6" t="str">
        <x:v>Pendiente y alineada</x:v>
      </x:c>
      <x:c r="G42" s="6" t="str">
        <x:v>Replanificar en tareas nuevas</x:v>
      </x:c>
      <x:c r="H42" s="7" t="str">
        <x:v>La necesidad sigue vigente para Admin, POS, pagos o simuladores.</x:v>
      </x:c>
      <x:c r="I42" s="6" t="str">
        <x:v>docs/context/estado-actual.md; docs/context/planificacion/roadmap.md; inspección estática del código</x:v>
      </x:c>
    </x:row>
    <x:row r="43" ht="40" customHeight="1">
      <x:c r="A43" s="6" t="n">
        <x:v>43</x:v>
      </x:c>
      <x:c r="B43" s="7" t="str">
        <x:v>Pruebas manuales UI: Simular rechazos y demoras.</x:v>
      </x:c>
      <x:c r="C43" s="6" t="str">
        <x:v>spereda2024</x:v>
      </x:c>
      <x:c r="D43" s="6" t="str">
        <x:v>Semana 5</x:v>
      </x:c>
      <x:c r="E43" s="6" t="str">
        <x:v>30m</x:v>
      </x:c>
      <x:c r="F43" s="6" t="str">
        <x:v>Pendiente y alineada</x:v>
      </x:c>
      <x:c r="G43" s="6" t="str">
        <x:v>Replanificar en tareas nuevas</x:v>
      </x:c>
      <x:c r="H43" s="7" t="str">
        <x:v>La necesidad sigue vigente para Admin, POS, pagos o simuladores.</x:v>
      </x:c>
      <x:c r="I43" s="6" t="str">
        <x:v>docs/context/estado-actual.md; docs/context/planificacion/roadmap.md; inspección estática del código</x:v>
      </x:c>
    </x:row>
    <x:row r="44" ht="40" customHeight="1">
      <x:c r="A44" s="6" t="n">
        <x:v>44</x:v>
      </x:c>
      <x:c r="B44" s="7" t="str">
        <x:v>Completar modelo `DocumentoTributario` (Comprobante) con campos relacionales.</x:v>
      </x:c>
      <x:c r="C44" s="6" t="str">
        <x:v>msanhueza2024</x:v>
      </x:c>
      <x:c r="D44" s="6" t="str">
        <x:v>Semana 6</x:v>
      </x:c>
      <x:c r="E44" s="6" t="str">
        <x:v>40m</x:v>
      </x:c>
      <x:c r="F44" s="6" t="str">
        <x:v>Parcial</x:v>
      </x:c>
      <x:c r="G44" s="6" t="str">
        <x:v>Completar o corregir</x:v>
      </x:c>
      <x:c r="H44" s="7" t="str">
        <x:v>Existe base funcional, pero faltan acciones o falla la comprobación de tipos/alcance.</x:v>
      </x:c>
      <x:c r="I44" s="6" t="str">
        <x:v>src/TaxComplianceService/Models/Comprobante.cs; Services/ComprobanteService.cs; Data/Migrations/</x:v>
      </x:c>
    </x:row>
    <x:row r="45" ht="40" customHeight="1">
      <x:c r="A45" s="6" t="n">
        <x:v>45</x:v>
      </x:c>
      <x:c r="B45" s="7" t="str">
        <x:v>Crear migración y usar SQL Raw para crear un `SEQUENCE` por tenant para generación de folios.</x:v>
      </x:c>
      <x:c r="C45" s="6" t="str">
        <x:v>msanhueza2024</x:v>
      </x:c>
      <x:c r="D45" s="6" t="str">
        <x:v>Semana 6</x:v>
      </x:c>
      <x:c r="E45" s="6" t="str">
        <x:v>60m</x:v>
      </x:c>
      <x:c r="F45" s="6" t="str">
        <x:v>Implementada en código</x:v>
      </x:c>
      <x:c r="G45" s="6" t="str">
        <x:v>Excluir de nueva capacidad</x:v>
      </x:c>
      <x:c r="H45" s="7" t="str">
        <x:v>Controller, servicio, modelo o migración presente en el repositorio.</x:v>
      </x:c>
      <x:c r="I45" s="6" t="str">
        <x:v>src/TaxComplianceService/Models/Comprobante.cs; Services/ComprobanteService.cs; Data/Migrations/</x:v>
      </x:c>
    </x:row>
    <x:row r="46" ht="40" customHeight="1">
      <x:c r="A46" s="6" t="n">
        <x:v>46</x:v>
      </x:c>
      <x:c r="B46" s="7" t="str">
        <x:v>Implementar repositorio para obtener y guardar `DocumentoTributario`.</x:v>
      </x:c>
      <x:c r="C46" s="6" t="str">
        <x:v>msanhueza2024</x:v>
      </x:c>
      <x:c r="D46" s="6" t="str">
        <x:v>Semana 6</x:v>
      </x:c>
      <x:c r="E46" s="6" t="str">
        <x:v>40m</x:v>
      </x:c>
      <x:c r="F46" s="6" t="str">
        <x:v>Implementada en código</x:v>
      </x:c>
      <x:c r="G46" s="6" t="str">
        <x:v>Excluir de nueva capacidad</x:v>
      </x:c>
      <x:c r="H46" s="7" t="str">
        <x:v>Controller, servicio, modelo o migración presente en el repositorio.</x:v>
      </x:c>
      <x:c r="I46" s="6" t="str">
        <x:v>src/TaxComplianceService/Models/Comprobante.cs; Services/ComprobanteService.cs; Data/Migrations/</x:v>
      </x:c>
    </x:row>
    <x:row r="47" ht="40" customHeight="1">
      <x:c r="A47" s="6" t="n">
        <x:v>47</x:v>
      </x:c>
      <x:c r="B47" s="7" t="str">
        <x:v>Implementar `POST /comprobantes`: Obtener NextVal del SEQUENCE atómico y guardar en BD.</x:v>
      </x:c>
      <x:c r="C47" s="6" t="str">
        <x:v>msanhueza2024</x:v>
      </x:c>
      <x:c r="D47" s="6" t="str">
        <x:v>Semana 6</x:v>
      </x:c>
      <x:c r="E47" s="6" t="str">
        <x:v>60m</x:v>
      </x:c>
      <x:c r="F47" s="6" t="str">
        <x:v>Implementada en código</x:v>
      </x:c>
      <x:c r="G47" s="6" t="str">
        <x:v>Excluir de nueva capacidad</x:v>
      </x:c>
      <x:c r="H47" s="7" t="str">
        <x:v>Controller, servicio, modelo o migración presente en el repositorio.</x:v>
      </x:c>
      <x:c r="I47" s="6" t="str">
        <x:v>src/TaxComplianceService/Models/Comprobante.cs; Services/ComprobanteService.cs; Data/Migrations/</x:v>
      </x:c>
    </x:row>
    <x:row r="48" ht="40" customHeight="1">
      <x:c r="A48" s="6" t="n">
        <x:v>48</x:v>
      </x:c>
      <x:c r="B48" s="7" t="str">
        <x:v>Implementar `GET /comprobantes/{id}`: Retornar detalle completo.</x:v>
      </x:c>
      <x:c r="C48" s="6" t="str">
        <x:v>msanhueza2024</x:v>
      </x:c>
      <x:c r="D48" s="6" t="str">
        <x:v>Semana 6</x:v>
      </x:c>
      <x:c r="E48" s="6" t="str">
        <x:v>40m</x:v>
      </x:c>
      <x:c r="F48" s="6" t="str">
        <x:v>Implementada en código</x:v>
      </x:c>
      <x:c r="G48" s="6" t="str">
        <x:v>Excluir de nueva capacidad</x:v>
      </x:c>
      <x:c r="H48" s="7" t="str">
        <x:v>Controller, servicio, modelo o migración presente en el repositorio.</x:v>
      </x:c>
      <x:c r="I48" s="6" t="str">
        <x:v>src/TaxComplianceService/Models/Comprobante.cs; Services/ComprobanteService.cs; Data/Migrations/</x:v>
      </x:c>
    </x:row>
    <x:row r="49" ht="40" customHeight="1">
      <x:c r="A49" s="6" t="n">
        <x:v>49</x:v>
      </x:c>
      <x:c r="B49" s="7" t="str">
        <x:v>Pruebas Postman: Enviar 10 requests concurrentes para validar que el SEQUENCE no da duplicados.</x:v>
      </x:c>
      <x:c r="C49" s="6" t="str">
        <x:v>msanhueza2024</x:v>
      </x:c>
      <x:c r="D49" s="6" t="str">
        <x:v>Semana 6</x:v>
      </x:c>
      <x:c r="E49" s="6" t="str">
        <x:v>60m</x:v>
      </x:c>
      <x:c r="F49" s="6" t="str">
        <x:v>No verificada</x:v>
      </x:c>
      <x:c r="G49" s="6" t="str">
        <x:v>No contar como completada</x:v>
      </x:c>
      <x:c r="H49" s="7" t="str">
        <x:v>La tarea pide prueba manual o evidencia de ejecución no disponible en el repositorio.</x:v>
      </x:c>
      <x:c r="I49" s="6" t="str">
        <x:v>[NO VERIFICADO] requiere registro de ejecución o revisión manual; el código no demuestra el cierre.</x:v>
      </x:c>
    </x:row>
    <x:row r="50" ht="40" customHeight="1">
      <x:c r="A50" s="6" t="n">
        <x:v>50</x:v>
      </x:c>
      <x:c r="B50" s="7" t="str">
        <x:v>Crear `DteXmlGeneratorService`: Construir string XML base según norma fiscal.</x:v>
      </x:c>
      <x:c r="C50" s="6" t="str">
        <x:v>nmartinez2024</x:v>
      </x:c>
      <x:c r="D50" s="6" t="str">
        <x:v>Semana 6</x:v>
      </x:c>
      <x:c r="E50" s="6" t="str">
        <x:v>60m</x:v>
      </x:c>
      <x:c r="F50" s="6" t="str">
        <x:v>Fuera del alcance Sprint 2</x:v>
      </x:c>
      <x:c r="G50" s="6" t="str">
        <x:v>Diferir a backlog posterior</x:v>
      </x:c>
      <x:c r="H50" s="7" t="str">
        <x:v>Corresponde a FEFO, DTE, compras, devoluciones parciales o analytics; excede las cinco metas y la capacidad.</x:v>
      </x:c>
      <x:c r="I50" s="6" t="str">
        <x:v>docs/context/estado-actual.md; docs/context/planificacion/roadmap.md; inspección estática del código</x:v>
      </x:c>
    </x:row>
    <x:row r="51" ht="40" customHeight="1">
      <x:c r="A51" s="6" t="n">
        <x:v>51</x:v>
      </x:c>
      <x:c r="B51" s="7" t="str">
        <x:v>Crear stub `SIIClient`: Mock HTTP hacia SII/AFIP para solicitar validación de folio.</x:v>
      </x:c>
      <x:c r="C51" s="6" t="str">
        <x:v>nmartinez2024</x:v>
      </x:c>
      <x:c r="D51" s="6" t="str">
        <x:v>Semana 6</x:v>
      </x:c>
      <x:c r="E51" s="6" t="str">
        <x:v>40m</x:v>
      </x:c>
      <x:c r="F51" s="6" t="str">
        <x:v>Fuera del alcance Sprint 2</x:v>
      </x:c>
      <x:c r="G51" s="6" t="str">
        <x:v>Diferir a backlog posterior</x:v>
      </x:c>
      <x:c r="H51" s="7" t="str">
        <x:v>Corresponde a FEFO, DTE, compras, devoluciones parciales o analytics; excede las cinco metas y la capacidad.</x:v>
      </x:c>
      <x:c r="I51" s="6" t="str">
        <x:v>docs/context/estado-actual.md; docs/context/planificacion/roadmap.md; inspección estática del código</x:v>
      </x:c>
    </x:row>
    <x:row r="52" ht="40" customHeight="1">
      <x:c r="A52" s="6" t="n">
        <x:v>52</x:v>
      </x:c>
      <x:c r="B52" s="7" t="str">
        <x:v>Implementar `POST /dte/emitir`: Recibir datos, generar XML, llamar a SIIClient.</x:v>
      </x:c>
      <x:c r="C52" s="6" t="str">
        <x:v>nmartinez2024</x:v>
      </x:c>
      <x:c r="D52" s="6" t="str">
        <x:v>Semana 6</x:v>
      </x:c>
      <x:c r="E52" s="6" t="str">
        <x:v>50m</x:v>
      </x:c>
      <x:c r="F52" s="6" t="str">
        <x:v>Fuera del alcance Sprint 2</x:v>
      </x:c>
      <x:c r="G52" s="6" t="str">
        <x:v>Diferir a backlog posterior</x:v>
      </x:c>
      <x:c r="H52" s="7" t="str">
        <x:v>Corresponde a FEFO, DTE, compras, devoluciones parciales o analytics; excede las cinco metas y la capacidad.</x:v>
      </x:c>
      <x:c r="I52" s="6" t="str">
        <x:v>docs/context/estado-actual.md; docs/context/planificacion/roadmap.md; inspección estática del código</x:v>
      </x:c>
    </x:row>
    <x:row r="53" ht="40" customHeight="1">
      <x:c r="A53" s="6" t="n">
        <x:v>53</x:v>
      </x:c>
      <x:c r="B53" s="7" t="str">
        <x:v>Manejo de estados: PENDIENTE -&gt; EMITIDO (con timbre) o RECHAZADO.</x:v>
      </x:c>
      <x:c r="C53" s="6" t="str">
        <x:v>nmartinez2024</x:v>
      </x:c>
      <x:c r="D53" s="6" t="str">
        <x:v>Semana 6</x:v>
      </x:c>
      <x:c r="E53" s="6" t="str">
        <x:v>40m</x:v>
      </x:c>
      <x:c r="F53" s="6" t="str">
        <x:v>Fuera del alcance Sprint 2</x:v>
      </x:c>
      <x:c r="G53" s="6" t="str">
        <x:v>Diferir a backlog posterior</x:v>
      </x:c>
      <x:c r="H53" s="7" t="str">
        <x:v>Corresponde a FEFO, DTE, compras, devoluciones parciales o analytics; excede las cinco metas y la capacidad.</x:v>
      </x:c>
      <x:c r="I53" s="6" t="str">
        <x:v>docs/context/estado-actual.md; docs/context/planificacion/roadmap.md; inspección estática del código</x:v>
      </x:c>
    </x:row>
    <x:row r="54" ht="40" customHeight="1">
      <x:c r="A54" s="6" t="n">
        <x:v>54</x:v>
      </x:c>
      <x:c r="B54" s="7" t="str">
        <x:v>Actualizar BD guardando el Código de Autorización Fiscal retornado.</x:v>
      </x:c>
      <x:c r="C54" s="6" t="str">
        <x:v>nmartinez2024</x:v>
      </x:c>
      <x:c r="D54" s="6" t="str">
        <x:v>Semana 6</x:v>
      </x:c>
      <x:c r="E54" s="6" t="str">
        <x:v>40m</x:v>
      </x:c>
      <x:c r="F54" s="6" t="str">
        <x:v>Fuera del alcance Sprint 2</x:v>
      </x:c>
      <x:c r="G54" s="6" t="str">
        <x:v>Diferir a backlog posterior</x:v>
      </x:c>
      <x:c r="H54" s="7" t="str">
        <x:v>Corresponde a FEFO, DTE, compras, devoluciones parciales o analytics; excede las cinco metas y la capacidad.</x:v>
      </x:c>
      <x:c r="I54" s="6" t="str">
        <x:v>docs/context/estado-actual.md; docs/context/planificacion/roadmap.md; inspección estática del código</x:v>
      </x:c>
    </x:row>
    <x:row r="55" ht="40" customHeight="1">
      <x:c r="A55" s="6" t="n">
        <x:v>55</x:v>
      </x:c>
      <x:c r="B55" s="7" t="str">
        <x:v>Configurar Polly para reintentos automáticos en caso de timeout del SIIClient.</x:v>
      </x:c>
      <x:c r="C55" s="6" t="str">
        <x:v>nmartinez2024</x:v>
      </x:c>
      <x:c r="D55" s="6" t="str">
        <x:v>Semana 6</x:v>
      </x:c>
      <x:c r="E55" s="6" t="str">
        <x:v>40m</x:v>
      </x:c>
      <x:c r="F55" s="6" t="str">
        <x:v>Fuera del alcance Sprint 2</x:v>
      </x:c>
      <x:c r="G55" s="6" t="str">
        <x:v>Diferir a backlog posterior</x:v>
      </x:c>
      <x:c r="H55" s="7" t="str">
        <x:v>Corresponde a FEFO, DTE, compras, devoluciones parciales o analytics; excede las cinco metas y la capacidad.</x:v>
      </x:c>
      <x:c r="I55" s="6" t="str">
        <x:v>docs/context/estado-actual.md; docs/context/planificacion/roadmap.md; inspección estática del código</x:v>
      </x:c>
    </x:row>
    <x:row r="56" ht="40" customHeight="1">
      <x:c r="A56" s="6" t="n">
        <x:v>56</x:v>
      </x:c>
      <x:c r="B56" s="7" t="str">
        <x:v>Pruebas unitarias de generación del string XML.</x:v>
      </x:c>
      <x:c r="C56" s="6" t="str">
        <x:v>nmartinez2024</x:v>
      </x:c>
      <x:c r="D56" s="6" t="str">
        <x:v>Semana 6</x:v>
      </x:c>
      <x:c r="E56" s="6" t="str">
        <x:v>30m</x:v>
      </x:c>
      <x:c r="F56" s="6" t="str">
        <x:v>Fuera del alcance Sprint 2</x:v>
      </x:c>
      <x:c r="G56" s="6" t="str">
        <x:v>Diferir a backlog posterior</x:v>
      </x:c>
      <x:c r="H56" s="7" t="str">
        <x:v>Corresponde a FEFO, DTE, compras, devoluciones parciales o analytics; excede las cinco metas y la capacidad.</x:v>
      </x:c>
      <x:c r="I56" s="6" t="str">
        <x:v>docs/context/estado-actual.md; docs/context/planificacion/roadmap.md; inspección estática del código</x:v>
      </x:c>
    </x:row>
    <x:row r="57" ht="40" customHeight="1">
      <x:c r="A57" s="6" t="n">
        <x:v>57</x:v>
      </x:c>
      <x:c r="B57" s="7" t="str">
        <x:v>Crear DTO `CobroMixtoRequest`: Lista de métodos y montos (Tarjeta $5000, Efectivo $2000).</x:v>
      </x:c>
      <x:c r="C57" s="6" t="str">
        <x:v>admin</x:v>
      </x:c>
      <x:c r="D57" s="6" t="str">
        <x:v>Semana 6</x:v>
      </x:c>
      <x:c r="E57" s="6" t="str">
        <x:v>40m</x:v>
      </x:c>
      <x:c r="F57" s="6" t="str">
        <x:v>Fuera del alcance Sprint 2</x:v>
      </x:c>
      <x:c r="G57" s="6" t="str">
        <x:v>Diferir a backlog posterior</x:v>
      </x:c>
      <x:c r="H57" s="7" t="str">
        <x:v>Corresponde a FEFO, DTE, compras, devoluciones parciales o analytics; excede las cinco metas y la capacidad.</x:v>
      </x:c>
      <x:c r="I57" s="6" t="str">
        <x:v>docs/context/estado-actual.md; docs/context/planificacion/roadmap.md; inspección estática del código</x:v>
      </x:c>
    </x:row>
    <x:row r="58" ht="40" customHeight="1">
      <x:c r="A58" s="6" t="n">
        <x:v>58</x:v>
      </x:c>
      <x:c r="B58" s="7" t="str">
        <x:v>Implementar `POST /ventas/{id}/cobrar-mixto`: Validar que la suma cubra el total exacto.</x:v>
      </x:c>
      <x:c r="C58" s="6" t="str">
        <x:v>admin</x:v>
      </x:c>
      <x:c r="D58" s="6" t="str">
        <x:v>Semana 6</x:v>
      </x:c>
      <x:c r="E58" s="6" t="str">
        <x:v>40m</x:v>
      </x:c>
      <x:c r="F58" s="6" t="str">
        <x:v>Fuera del alcance Sprint 2</x:v>
      </x:c>
      <x:c r="G58" s="6" t="str">
        <x:v>Diferir a backlog posterior</x:v>
      </x:c>
      <x:c r="H58" s="7" t="str">
        <x:v>Corresponde a FEFO, DTE, compras, devoluciones parciales o analytics; excede las cinco metas y la capacidad.</x:v>
      </x:c>
      <x:c r="I58" s="6" t="str">
        <x:v>docs/context/estado-actual.md; docs/context/planificacion/roadmap.md; inspección estática del código</x:v>
      </x:c>
    </x:row>
    <x:row r="59" ht="40" customHeight="1">
      <x:c r="A59" s="6" t="n">
        <x:v>59</x:v>
      </x:c>
      <x:c r="B59" s="7" t="str">
        <x:v>Lógica mixta: Cobrar primero el componente de Tarjeta usando pasarela.</x:v>
      </x:c>
      <x:c r="C59" s="6" t="str">
        <x:v>admin</x:v>
      </x:c>
      <x:c r="D59" s="6" t="str">
        <x:v>Semana 6</x:v>
      </x:c>
      <x:c r="E59" s="6" t="str">
        <x:v>50m</x:v>
      </x:c>
      <x:c r="F59" s="6" t="str">
        <x:v>Fuera del alcance Sprint 2</x:v>
      </x:c>
      <x:c r="G59" s="6" t="str">
        <x:v>Diferir a backlog posterior</x:v>
      </x:c>
      <x:c r="H59" s="7" t="str">
        <x:v>Corresponde a FEFO, DTE, compras, devoluciones parciales o analytics; excede las cinco metas y la capacidad.</x:v>
      </x:c>
      <x:c r="I59" s="6" t="str">
        <x:v>docs/context/estado-actual.md; docs/context/planificacion/roadmap.md; inspección estática del código</x:v>
      </x:c>
    </x:row>
    <x:row r="60" ht="40" customHeight="1">
      <x:c r="A60" s="6" t="n">
        <x:v>60</x:v>
      </x:c>
      <x:c r="B60" s="7" t="str">
        <x:v>Lógica mixta: Si tarjeta falla, abortar cobro efectivo. Si aprueba, calcular vuelto de la fracción en efectivo.</x:v>
      </x:c>
      <x:c r="C60" s="6" t="str">
        <x:v>admin</x:v>
      </x:c>
      <x:c r="D60" s="6" t="str">
        <x:v>Semana 6</x:v>
      </x:c>
      <x:c r="E60" s="6" t="str">
        <x:v>60m</x:v>
      </x:c>
      <x:c r="F60" s="6" t="str">
        <x:v>Fuera del alcance Sprint 2</x:v>
      </x:c>
      <x:c r="G60" s="6" t="str">
        <x:v>Diferir a backlog posterior</x:v>
      </x:c>
      <x:c r="H60" s="7" t="str">
        <x:v>Corresponde a FEFO, DTE, compras, devoluciones parciales o analytics; excede las cinco metas y la capacidad.</x:v>
      </x:c>
      <x:c r="I60" s="6" t="str">
        <x:v>docs/context/estado-actual.md; docs/context/planificacion/roadmap.md; inspección estática del código</x:v>
      </x:c>
    </x:row>
    <x:row r="61" ht="40" customHeight="1">
      <x:c r="A61" s="6" t="n">
        <x:v>61</x:v>
      </x:c>
      <x:c r="B61" s="7" t="str">
        <x:v>Modificar evento Kafka `sale.completed` para detallar distribución de métodos de pago.</x:v>
      </x:c>
      <x:c r="C61" s="6" t="str">
        <x:v>admin</x:v>
      </x:c>
      <x:c r="D61" s="6" t="str">
        <x:v>Semana 6</x:v>
      </x:c>
      <x:c r="E61" s="6" t="str">
        <x:v>40m</x:v>
      </x:c>
      <x:c r="F61" s="6" t="str">
        <x:v>Fuera del alcance Sprint 2</x:v>
      </x:c>
      <x:c r="G61" s="6" t="str">
        <x:v>Diferir a backlog posterior</x:v>
      </x:c>
      <x:c r="H61" s="7" t="str">
        <x:v>Corresponde a FEFO, DTE, compras, devoluciones parciales o analytics; excede las cinco metas y la capacidad.</x:v>
      </x:c>
      <x:c r="I61" s="6" t="str">
        <x:v>docs/context/estado-actual.md; docs/context/planificacion/roadmap.md; inspección estática del código</x:v>
      </x:c>
    </x:row>
    <x:row r="62" ht="40" customHeight="1">
      <x:c r="A62" s="6" t="n">
        <x:v>62</x:v>
      </x:c>
      <x:c r="B62" s="7" t="str">
        <x:v>Pruebas Postman: Escenarios de fallo parcial (ej. tarjeta rechazada).</x:v>
      </x:c>
      <x:c r="C62" s="6" t="str">
        <x:v>admin</x:v>
      </x:c>
      <x:c r="D62" s="6" t="str">
        <x:v>Semana 6</x:v>
      </x:c>
      <x:c r="E62" s="6" t="str">
        <x:v>70m</x:v>
      </x:c>
      <x:c r="F62" s="6" t="str">
        <x:v>Fuera del alcance Sprint 2</x:v>
      </x:c>
      <x:c r="G62" s="6" t="str">
        <x:v>Diferir a backlog posterior</x:v>
      </x:c>
      <x:c r="H62" s="7" t="str">
        <x:v>Corresponde a FEFO, DTE, compras, devoluciones parciales o analytics; excede las cinco metas y la capacidad.</x:v>
      </x:c>
      <x:c r="I62" s="6" t="str">
        <x:v>docs/context/estado-actual.md; docs/context/planificacion/roadmap.md; inspección estática del código</x:v>
      </x:c>
    </x:row>
    <x:row r="63" ht="40" customHeight="1">
      <x:c r="A63" s="6" t="n">
        <x:v>63</x:v>
      </x:c>
      <x:c r="B63" s="7" t="str">
        <x:v>Crear modal `ReciboVenta` que aparece tras un cobro exitoso.</x:v>
      </x:c>
      <x:c r="C63" s="6" t="str">
        <x:v>dprado2024</x:v>
      </x:c>
      <x:c r="D63" s="6" t="str">
        <x:v>Semana 6</x:v>
      </x:c>
      <x:c r="E63" s="6" t="str">
        <x:v>50m</x:v>
      </x:c>
      <x:c r="F63" s="6" t="str">
        <x:v>Pendiente y alineada</x:v>
      </x:c>
      <x:c r="G63" s="6" t="str">
        <x:v>Replanificar en tareas nuevas</x:v>
      </x:c>
      <x:c r="H63" s="7" t="str">
        <x:v>La necesidad sigue vigente para Admin, POS, pagos o simuladores.</x:v>
      </x:c>
      <x:c r="I63" s="6" t="str">
        <x:v>docs/context/estado-actual.md; docs/context/planificacion/roadmap.md; inspección estática del código</x:v>
      </x:c>
    </x:row>
    <x:row r="64" ht="40" customHeight="1">
      <x:c r="A64" s="6" t="n">
        <x:v>64</x:v>
      </x:c>
      <x:c r="B64" s="7" t="str">
        <x:v>Conectar `ReciboVenta` con `GET /comprobantes/{id}`.</x:v>
      </x:c>
      <x:c r="C64" s="6" t="str">
        <x:v>dprado2024</x:v>
      </x:c>
      <x:c r="D64" s="6" t="str">
        <x:v>Semana 6</x:v>
      </x:c>
      <x:c r="E64" s="6" t="str">
        <x:v>40m</x:v>
      </x:c>
      <x:c r="F64" s="6" t="str">
        <x:v>Pendiente y alineada</x:v>
      </x:c>
      <x:c r="G64" s="6" t="str">
        <x:v>Replanificar en tareas nuevas</x:v>
      </x:c>
      <x:c r="H64" s="7" t="str">
        <x:v>La necesidad sigue vigente para Admin, POS, pagos o simuladores.</x:v>
      </x:c>
      <x:c r="I64" s="6" t="str">
        <x:v>docs/context/estado-actual.md; docs/context/planificacion/roadmap.md; inspección estática del código</x:v>
      </x:c>
    </x:row>
    <x:row r="65" ht="40" customHeight="1">
      <x:c r="A65" s="6" t="n">
        <x:v>65</x:v>
      </x:c>
      <x:c r="B65" s="7" t="str">
        <x:v>Botón "Imprimir" que invoca ventana de impresión de Electron.</x:v>
      </x:c>
      <x:c r="C65" s="6" t="str">
        <x:v>dprado2024</x:v>
      </x:c>
      <x:c r="D65" s="6" t="str">
        <x:v>Semana 6</x:v>
      </x:c>
      <x:c r="E65" s="6" t="str">
        <x:v>40m</x:v>
      </x:c>
      <x:c r="F65" s="6" t="str">
        <x:v>Reformular</x:v>
      </x:c>
      <x:c r="G65" s="6" t="str">
        <x:v>Reemplazar por tarea acotada</x:v>
      </x:c>
      <x:c r="H65" s="7" t="str">
        <x:v>El endpoint, dependencia o alcance supuesto no coincide con el código o las cinco metas.</x:v>
      </x:c>
      <x:c r="I65" s="6" t="str">
        <x:v>docs/context/estado-actual.md; docs/context/planificacion/roadmap.md; inspección estática del código</x:v>
      </x:c>
    </x:row>
    <x:row r="66" ht="40" customHeight="1">
      <x:c r="A66" s="6" t="n">
        <x:v>66</x:v>
      </x:c>
      <x:c r="B66" s="7" t="str">
        <x:v>Modificar modal de cobro para opción "Pago Mixto" (inputs separados de efectivo/tarjeta).</x:v>
      </x:c>
      <x:c r="C66" s="6" t="str">
        <x:v>dprado2024</x:v>
      </x:c>
      <x:c r="D66" s="6" t="str">
        <x:v>Semana 6</x:v>
      </x:c>
      <x:c r="E66" s="6" t="str">
        <x:v>50m</x:v>
      </x:c>
      <x:c r="F66" s="6" t="str">
        <x:v>Fuera del alcance Sprint 2</x:v>
      </x:c>
      <x:c r="G66" s="6" t="str">
        <x:v>Diferir a backlog posterior</x:v>
      </x:c>
      <x:c r="H66" s="7" t="str">
        <x:v>Corresponde a FEFO, DTE, compras, devoluciones parciales o analytics; excede las cinco metas y la capacidad.</x:v>
      </x:c>
      <x:c r="I66" s="6" t="str">
        <x:v>docs/context/estado-actual.md; docs/context/planificacion/roadmap.md; inspección estática del código</x:v>
      </x:c>
    </x:row>
    <x:row r="67" ht="40" customHeight="1">
      <x:c r="A67" s="6" t="n">
        <x:v>67</x:v>
      </x:c>
      <x:c r="B67" s="7" t="str">
        <x:v>Validación en vivo: Restar monto tarjeta del total para sugerir monto en efectivo necesario.</x:v>
      </x:c>
      <x:c r="C67" s="6" t="str">
        <x:v>dprado2024</x:v>
      </x:c>
      <x:c r="D67" s="6" t="str">
        <x:v>Semana 6</x:v>
      </x:c>
      <x:c r="E67" s="6" t="str">
        <x:v>40m</x:v>
      </x:c>
      <x:c r="F67" s="6" t="str">
        <x:v>Fuera del alcance Sprint 2</x:v>
      </x:c>
      <x:c r="G67" s="6" t="str">
        <x:v>Diferir a backlog posterior</x:v>
      </x:c>
      <x:c r="H67" s="7" t="str">
        <x:v>Corresponde a FEFO, DTE, compras, devoluciones parciales o analytics; excede las cinco metas y la capacidad.</x:v>
      </x:c>
      <x:c r="I67" s="6" t="str">
        <x:v>docs/context/estado-actual.md; docs/context/planificacion/roadmap.md; inspección estática del código</x:v>
      </x:c>
    </x:row>
    <x:row r="68" ht="40" customHeight="1">
      <x:c r="A68" s="6" t="n">
        <x:v>68</x:v>
      </x:c>
      <x:c r="B68" s="7" t="str">
        <x:v>Integrar frontend con API `POST /ventas/{id}/cobrar-mixto`.</x:v>
      </x:c>
      <x:c r="C68" s="6" t="str">
        <x:v>dprado2024</x:v>
      </x:c>
      <x:c r="D68" s="6" t="str">
        <x:v>Semana 6</x:v>
      </x:c>
      <x:c r="E68" s="6" t="str">
        <x:v>50m</x:v>
      </x:c>
      <x:c r="F68" s="6" t="str">
        <x:v>Fuera del alcance Sprint 2</x:v>
      </x:c>
      <x:c r="G68" s="6" t="str">
        <x:v>Diferir a backlog posterior</x:v>
      </x:c>
      <x:c r="H68" s="7" t="str">
        <x:v>Corresponde a FEFO, DTE, compras, devoluciones parciales o analytics; excede las cinco metas y la capacidad.</x:v>
      </x:c>
      <x:c r="I68" s="6" t="str">
        <x:v>docs/context/estado-actual.md; docs/context/planificacion/roadmap.md; inspección estática del código</x:v>
      </x:c>
    </x:row>
    <x:row r="69" ht="40" customHeight="1">
      <x:c r="A69" s="6" t="n">
        <x:v>69</x:v>
      </x:c>
      <x:c r="B69" s="7" t="str">
        <x:v>Manejo de errores específicos para pagos mixtos en la UI.</x:v>
      </x:c>
      <x:c r="C69" s="6" t="str">
        <x:v>dprado2024</x:v>
      </x:c>
      <x:c r="D69" s="6" t="str">
        <x:v>Semana 6</x:v>
      </x:c>
      <x:c r="E69" s="6" t="str">
        <x:v>30m</x:v>
      </x:c>
      <x:c r="F69" s="6" t="str">
        <x:v>Fuera del alcance Sprint 2</x:v>
      </x:c>
      <x:c r="G69" s="6" t="str">
        <x:v>Diferir a backlog posterior</x:v>
      </x:c>
      <x:c r="H69" s="7" t="str">
        <x:v>Corresponde a FEFO, DTE, compras, devoluciones parciales o analytics; excede las cinco metas y la capacidad.</x:v>
      </x:c>
      <x:c r="I69" s="6" t="str">
        <x:v>docs/context/estado-actual.md; docs/context/planificacion/roadmap.md; inspección estática del código</x:v>
      </x:c>
    </x:row>
    <x:row r="70" ht="40" customHeight="1">
      <x:c r="A70" s="6" t="n">
        <x:v>70</x:v>
      </x:c>
      <x:c r="B70" s="7" t="str">
        <x:v>Crear modelos MS-6: `Proveedor`, `OrdenCompra`, `ItemOrdenCompra`.</x:v>
      </x:c>
      <x:c r="C70" s="6" t="str">
        <x:v>dleiva2024</x:v>
      </x:c>
      <x:c r="D70" s="6" t="str">
        <x:v>Semana 6</x:v>
      </x:c>
      <x:c r="E70" s="6" t="str">
        <x:v>50m</x:v>
      </x:c>
      <x:c r="F70" s="6" t="str">
        <x:v>Implementada en código</x:v>
      </x:c>
      <x:c r="G70" s="6" t="str">
        <x:v>Excluir de nueva capacidad</x:v>
      </x:c>
      <x:c r="H70" s="7" t="str">
        <x:v>Controller, servicio, modelo o migración presente en el repositorio.</x:v>
      </x:c>
      <x:c r="I70" s="6" t="str">
        <x:v>src/SupplyChainService/; revisar alcance del MS-6</x:v>
      </x:c>
    </x:row>
    <x:row r="71" ht="40" customHeight="1">
      <x:c r="A71" s="6" t="n">
        <x:v>71</x:v>
      </x:c>
      <x:c r="B71" s="7" t="str">
        <x:v>Crear migraciones y `AppDbContext` para MS-6 con filtro de tenant.</x:v>
      </x:c>
      <x:c r="C71" s="6" t="str">
        <x:v>dleiva2024</x:v>
      </x:c>
      <x:c r="D71" s="6" t="str">
        <x:v>Semana 6</x:v>
      </x:c>
      <x:c r="E71" s="6" t="str">
        <x:v>40m</x:v>
      </x:c>
      <x:c r="F71" s="6" t="str">
        <x:v>Implementada en código</x:v>
      </x:c>
      <x:c r="G71" s="6" t="str">
        <x:v>Excluir de nueva capacidad</x:v>
      </x:c>
      <x:c r="H71" s="7" t="str">
        <x:v>Controller, servicio, modelo o migración presente en el repositorio.</x:v>
      </x:c>
      <x:c r="I71" s="6" t="str">
        <x:v>src/SupplyChainService/; revisar alcance del MS-6</x:v>
      </x:c>
    </x:row>
    <x:row r="72" ht="40" customHeight="1">
      <x:c r="A72" s="6" t="n">
        <x:v>72</x:v>
      </x:c>
      <x:c r="B72" s="7" t="str">
        <x:v>Implementar CRUD Proveedores (`GET`, `POST`, `PUT`).</x:v>
      </x:c>
      <x:c r="C72" s="6" t="str">
        <x:v>dleiva2024</x:v>
      </x:c>
      <x:c r="D72" s="6" t="str">
        <x:v>Semana 6</x:v>
      </x:c>
      <x:c r="E72" s="6" t="str">
        <x:v>50m</x:v>
      </x:c>
      <x:c r="F72" s="6" t="str">
        <x:v>Fuera del alcance Sprint 2</x:v>
      </x:c>
      <x:c r="G72" s="6" t="str">
        <x:v>Diferir a backlog posterior</x:v>
      </x:c>
      <x:c r="H72" s="7" t="str">
        <x:v>Corresponde a FEFO, DTE, compras, devoluciones parciales o analytics; excede las cinco metas y la capacidad.</x:v>
      </x:c>
      <x:c r="I72" s="6" t="str">
        <x:v>src/SupplyChainService/; revisar alcance del MS-6</x:v>
      </x:c>
    </x:row>
    <x:row r="73" ht="40" customHeight="1">
      <x:c r="A73" s="6" t="n">
        <x:v>73</x:v>
      </x:c>
      <x:c r="B73" s="7" t="str">
        <x:v>Implementar `POST /ordenes-compra`: Crear cabecera OC en estado BORRADOR.</x:v>
      </x:c>
      <x:c r="C73" s="6" t="str">
        <x:v>dleiva2024</x:v>
      </x:c>
      <x:c r="D73" s="6" t="str">
        <x:v>Semana 6</x:v>
      </x:c>
      <x:c r="E73" s="6" t="str">
        <x:v>50m</x:v>
      </x:c>
      <x:c r="F73" s="6" t="str">
        <x:v>Fuera del alcance Sprint 2</x:v>
      </x:c>
      <x:c r="G73" s="6" t="str">
        <x:v>Diferir a backlog posterior</x:v>
      </x:c>
      <x:c r="H73" s="7" t="str">
        <x:v>Corresponde a FEFO, DTE, compras, devoluciones parciales o analytics; excede las cinco metas y la capacidad.</x:v>
      </x:c>
      <x:c r="I73" s="6" t="str">
        <x:v>src/SupplyChainService/; revisar alcance del MS-6</x:v>
      </x:c>
    </x:row>
    <x:row r="74" ht="40" customHeight="1">
      <x:c r="A74" s="6" t="n">
        <x:v>74</x:v>
      </x:c>
      <x:c r="B74" s="7" t="str">
        <x:v>Implementar listado (`GET`) y detalle (`GET /id`) de Órdenes de Compra.</x:v>
      </x:c>
      <x:c r="C74" s="6" t="str">
        <x:v>dleiva2024</x:v>
      </x:c>
      <x:c r="D74" s="6" t="str">
        <x:v>Semana 6</x:v>
      </x:c>
      <x:c r="E74" s="6" t="str">
        <x:v>50m</x:v>
      </x:c>
      <x:c r="F74" s="6" t="str">
        <x:v>Fuera del alcance Sprint 2</x:v>
      </x:c>
      <x:c r="G74" s="6" t="str">
        <x:v>Diferir a backlog posterior</x:v>
      </x:c>
      <x:c r="H74" s="7" t="str">
        <x:v>Corresponde a FEFO, DTE, compras, devoluciones parciales o analytics; excede las cinco metas y la capacidad.</x:v>
      </x:c>
      <x:c r="I74" s="6" t="str">
        <x:v>src/SupplyChainService/; revisar alcance del MS-6</x:v>
      </x:c>
    </x:row>
    <x:row r="75" ht="40" customHeight="1">
      <x:c r="A75" s="6" t="n">
        <x:v>75</x:v>
      </x:c>
      <x:c r="B75" s="7" t="str">
        <x:v>Configurar Swagger y autenticación JWT en MS-6.</x:v>
      </x:c>
      <x:c r="C75" s="6" t="str">
        <x:v>dleiva2024</x:v>
      </x:c>
      <x:c r="D75" s="6" t="str">
        <x:v>Semana 6</x:v>
      </x:c>
      <x:c r="E75" s="6" t="str">
        <x:v>60m</x:v>
      </x:c>
      <x:c r="F75" s="6" t="str">
        <x:v>Implementada en código</x:v>
      </x:c>
      <x:c r="G75" s="6" t="str">
        <x:v>Excluir de nueva capacidad</x:v>
      </x:c>
      <x:c r="H75" s="7" t="str">
        <x:v>Controller, servicio, modelo o migración presente en el repositorio.</x:v>
      </x:c>
      <x:c r="I75" s="6" t="str">
        <x:v>src/SupplyChainService/; revisar alcance del MS-6</x:v>
      </x:c>
    </x:row>
    <x:row r="76" ht="40" customHeight="1">
      <x:c r="A76" s="6" t="n">
        <x:v>76</x:v>
      </x:c>
      <x:c r="B76" s="7" t="str">
        <x:v>Crear vista `ProveedoresList`: Tabla de proveedores del tenant.</x:v>
      </x:c>
      <x:c r="C76" s="6" t="str">
        <x:v>spereda2024</x:v>
      </x:c>
      <x:c r="D76" s="6" t="str">
        <x:v>Semana 6</x:v>
      </x:c>
      <x:c r="E76" s="6" t="str">
        <x:v>40m</x:v>
      </x:c>
      <x:c r="F76" s="6" t="str">
        <x:v>Fuera del alcance Sprint 2</x:v>
      </x:c>
      <x:c r="G76" s="6" t="str">
        <x:v>Diferir a backlog posterior</x:v>
      </x:c>
      <x:c r="H76" s="7" t="str">
        <x:v>Corresponde a FEFO, DTE, compras, devoluciones parciales o analytics; excede las cinco metas y la capacidad.</x:v>
      </x:c>
      <x:c r="I76" s="6" t="str">
        <x:v>docs/context/estado-actual.md; docs/context/planificacion/roadmap.md; inspección estática del código</x:v>
      </x:c>
    </x:row>
    <x:row r="77" ht="40" customHeight="1">
      <x:c r="A77" s="6" t="n">
        <x:v>77</x:v>
      </x:c>
      <x:c r="B77" s="7" t="str">
        <x:v>Formulario `ProveedorModal` conectado a la API.</x:v>
      </x:c>
      <x:c r="C77" s="6" t="str">
        <x:v>spereda2024</x:v>
      </x:c>
      <x:c r="D77" s="6" t="str">
        <x:v>Semana 6</x:v>
      </x:c>
      <x:c r="E77" s="6" t="str">
        <x:v>50m</x:v>
      </x:c>
      <x:c r="F77" s="6" t="str">
        <x:v>Fuera del alcance Sprint 2</x:v>
      </x:c>
      <x:c r="G77" s="6" t="str">
        <x:v>Diferir a backlog posterior</x:v>
      </x:c>
      <x:c r="H77" s="7" t="str">
        <x:v>Corresponde a FEFO, DTE, compras, devoluciones parciales o analytics; excede las cinco metas y la capacidad.</x:v>
      </x:c>
      <x:c r="I77" s="6" t="str">
        <x:v>docs/context/estado-actual.md; docs/context/planificacion/roadmap.md; inspección estática del código</x:v>
      </x:c>
    </x:row>
    <x:row r="78" ht="40" customHeight="1">
      <x:c r="A78" s="6" t="n">
        <x:v>78</x:v>
      </x:c>
      <x:c r="B78" s="7" t="str">
        <x:v>Crear vista `OrdenesCompraList`: Tabla de órdenes con badges de estado.</x:v>
      </x:c>
      <x:c r="C78" s="6" t="str">
        <x:v>spereda2024</x:v>
      </x:c>
      <x:c r="D78" s="6" t="str">
        <x:v>Semana 6</x:v>
      </x:c>
      <x:c r="E78" s="6" t="str">
        <x:v>40m</x:v>
      </x:c>
      <x:c r="F78" s="6" t="str">
        <x:v>Fuera del alcance Sprint 2</x:v>
      </x:c>
      <x:c r="G78" s="6" t="str">
        <x:v>Diferir a backlog posterior</x:v>
      </x:c>
      <x:c r="H78" s="7" t="str">
        <x:v>Corresponde a FEFO, DTE, compras, devoluciones parciales o analytics; excede las cinco metas y la capacidad.</x:v>
      </x:c>
      <x:c r="I78" s="6" t="str">
        <x:v>docs/context/estado-actual.md; docs/context/planificacion/roadmap.md; inspección estática del código</x:v>
      </x:c>
    </x:row>
    <x:row r="79" ht="40" customHeight="1">
      <x:c r="A79" s="6" t="n">
        <x:v>79</x:v>
      </x:c>
      <x:c r="B79" s="7" t="str">
        <x:v>Crear vista `OrdenCompraDetail`: Formulario para cabecera de la OC.</x:v>
      </x:c>
      <x:c r="C79" s="6" t="str">
        <x:v>spereda2024</x:v>
      </x:c>
      <x:c r="D79" s="6" t="str">
        <x:v>Semana 6</x:v>
      </x:c>
      <x:c r="E79" s="6" t="str">
        <x:v>40m</x:v>
      </x:c>
      <x:c r="F79" s="6" t="str">
        <x:v>Fuera del alcance Sprint 2</x:v>
      </x:c>
      <x:c r="G79" s="6" t="str">
        <x:v>Diferir a backlog posterior</x:v>
      </x:c>
      <x:c r="H79" s="7" t="str">
        <x:v>Corresponde a FEFO, DTE, compras, devoluciones parciales o analytics; excede las cinco metas y la capacidad.</x:v>
      </x:c>
      <x:c r="I79" s="6" t="str">
        <x:v>docs/context/estado-actual.md; docs/context/planificacion/roadmap.md; inspección estática del código</x:v>
      </x:c>
    </x:row>
    <x:row r="80" ht="40" customHeight="1">
      <x:c r="A80" s="6" t="n">
        <x:v>80</x:v>
      </x:c>
      <x:c r="B80" s="7" t="str">
        <x:v>UI para buscar productos (MS-3) y agregarlos como Items a la OC.</x:v>
      </x:c>
      <x:c r="C80" s="6" t="str">
        <x:v>spereda2024</x:v>
      </x:c>
      <x:c r="D80" s="6" t="str">
        <x:v>Semana 6</x:v>
      </x:c>
      <x:c r="E80" s="6" t="str">
        <x:v>60m</x:v>
      </x:c>
      <x:c r="F80" s="6" t="str">
        <x:v>Fuera del alcance Sprint 2</x:v>
      </x:c>
      <x:c r="G80" s="6" t="str">
        <x:v>Diferir a backlog posterior</x:v>
      </x:c>
      <x:c r="H80" s="7" t="str">
        <x:v>Corresponde a FEFO, DTE, compras, devoluciones parciales o analytics; excede las cinco metas y la capacidad.</x:v>
      </x:c>
      <x:c r="I80" s="6" t="str">
        <x:v>docs/context/estado-actual.md; docs/context/planificacion/roadmap.md; inspección estática del código</x:v>
      </x:c>
    </x:row>
    <x:row r="81" ht="40" customHeight="1">
      <x:c r="A81" s="6" t="n">
        <x:v>81</x:v>
      </x:c>
      <x:c r="B81" s="7" t="str">
        <x:v>Botón "Guardar Borrador" que envía el JSON al MS-6.</x:v>
      </x:c>
      <x:c r="C81" s="6" t="str">
        <x:v>spereda2024</x:v>
      </x:c>
      <x:c r="D81" s="6" t="str">
        <x:v>Semana 6</x:v>
      </x:c>
      <x:c r="E81" s="6" t="str">
        <x:v>40m</x:v>
      </x:c>
      <x:c r="F81" s="6" t="str">
        <x:v>Fuera del alcance Sprint 2</x:v>
      </x:c>
      <x:c r="G81" s="6" t="str">
        <x:v>Diferir a backlog posterior</x:v>
      </x:c>
      <x:c r="H81" s="7" t="str">
        <x:v>Corresponde a FEFO, DTE, compras, devoluciones parciales o analytics; excede las cinco metas y la capacidad.</x:v>
      </x:c>
      <x:c r="I81" s="6" t="str">
        <x:v>docs/context/estado-actual.md; docs/context/planificacion/roadmap.md; inspección estática del código</x:v>
      </x:c>
    </x:row>
    <x:row r="82" ht="40" customHeight="1">
      <x:c r="A82" s="6" t="n">
        <x:v>82</x:v>
      </x:c>
      <x:c r="B82" s="7" t="str">
        <x:v>Pruebas de integración visuales.</x:v>
      </x:c>
      <x:c r="C82" s="6" t="str">
        <x:v>spereda2024</x:v>
      </x:c>
      <x:c r="D82" s="6" t="str">
        <x:v>Semana 6</x:v>
      </x:c>
      <x:c r="E82" s="6" t="str">
        <x:v>30m</x:v>
      </x:c>
      <x:c r="F82" s="6" t="str">
        <x:v>No verificada</x:v>
      </x:c>
      <x:c r="G82" s="6" t="str">
        <x:v>No contar como completada</x:v>
      </x:c>
      <x:c r="H82" s="7" t="str">
        <x:v>La tarea pide prueba manual o evidencia de ejecución no disponible en el repositorio.</x:v>
      </x:c>
      <x:c r="I82" s="6" t="str">
        <x:v>[NO VERIFICADO] requiere registro de ejecución o revisión manual; el código no demuestra el cierre.</x:v>
      </x:c>
    </x:row>
    <x:row r="83" ht="40" customHeight="1">
      <x:c r="A83" s="6" t="n">
        <x:v>83</x:v>
      </x:c>
      <x:c r="B83" s="7" t="str">
        <x:v>Crear modelos `Devolucion`, `ItemDevolucion` atados a una Venta.</x:v>
      </x:c>
      <x:c r="C83" s="6" t="str">
        <x:v>msanhueza2024</x:v>
      </x:c>
      <x:c r="D83" s="6" t="str">
        <x:v>Semana 7</x:v>
      </x:c>
      <x:c r="E83" s="6" t="str">
        <x:v>40m</x:v>
      </x:c>
      <x:c r="F83" s="6" t="str">
        <x:v>Fuera del alcance Sprint 2</x:v>
      </x:c>
      <x:c r="G83" s="6" t="str">
        <x:v>Diferir a backlog posterior</x:v>
      </x:c>
      <x:c r="H83" s="7" t="str">
        <x:v>Corresponde a FEFO, DTE, compras, devoluciones parciales o analytics; excede las cinco metas y la capacidad.</x:v>
      </x:c>
      <x:c r="I83" s="6" t="str">
        <x:v>docs/context/estado-actual.md; docs/context/planificacion/roadmap.md; inspección estática del código</x:v>
      </x:c>
    </x:row>
    <x:row r="84" ht="40" customHeight="1">
      <x:c r="A84" s="6" t="n">
        <x:v>84</x:v>
      </x:c>
      <x:c r="B84" s="7" t="str">
        <x:v>Implementar `POST /ventas/{id}/devolucion-total`: Validar que venta está COMPLETADA.</x:v>
      </x:c>
      <x:c r="C84" s="6" t="str">
        <x:v>msanhueza2024</x:v>
      </x:c>
      <x:c r="D84" s="6" t="str">
        <x:v>Semana 7</x:v>
      </x:c>
      <x:c r="E84" s="6" t="str">
        <x:v>40m</x:v>
      </x:c>
      <x:c r="F84" s="6" t="str">
        <x:v>Fuera del alcance Sprint 2</x:v>
      </x:c>
      <x:c r="G84" s="6" t="str">
        <x:v>Diferir a backlog posterior</x:v>
      </x:c>
      <x:c r="H84" s="7" t="str">
        <x:v>Corresponde a FEFO, DTE, compras, devoluciones parciales o analytics; excede las cinco metas y la capacidad.</x:v>
      </x:c>
      <x:c r="I84" s="6" t="str">
        <x:v>docs/context/estado-actual.md; docs/context/planificacion/roadmap.md; inspección estática del código</x:v>
      </x:c>
    </x:row>
    <x:row r="85" ht="40" customHeight="1">
      <x:c r="A85" s="6" t="n">
        <x:v>85</x:v>
      </x:c>
      <x:c r="B85" s="7" t="str">
        <x:v>Lógica: Llamar a pasarela para reembolso si hubo cobro con tarjeta.</x:v>
      </x:c>
      <x:c r="C85" s="6" t="str">
        <x:v>msanhueza2024</x:v>
      </x:c>
      <x:c r="D85" s="6" t="str">
        <x:v>Semana 7</x:v>
      </x:c>
      <x:c r="E85" s="6" t="str">
        <x:v>50m</x:v>
      </x:c>
      <x:c r="F85" s="6" t="str">
        <x:v>Fuera del alcance Sprint 2</x:v>
      </x:c>
      <x:c r="G85" s="6" t="str">
        <x:v>Diferir a backlog posterior</x:v>
      </x:c>
      <x:c r="H85" s="7" t="str">
        <x:v>Corresponde a FEFO, DTE, compras, devoluciones parciales o analytics; excede las cinco metas y la capacidad.</x:v>
      </x:c>
      <x:c r="I85" s="6" t="str">
        <x:v>docs/context/estado-actual.md; docs/context/planificacion/roadmap.md; inspección estática del código</x:v>
      </x:c>
    </x:row>
    <x:row r="86" ht="40" customHeight="1">
      <x:c r="A86" s="6" t="n">
        <x:v>86</x:v>
      </x:c>
      <x:c r="B86" s="7" t="str">
        <x:v>Lógica: Generar evento Kafka `sale.reversed` para reingresar stock en MS-4.</x:v>
      </x:c>
      <x:c r="C86" s="6" t="str">
        <x:v>msanhueza2024</x:v>
      </x:c>
      <x:c r="D86" s="6" t="str">
        <x:v>Semana 7</x:v>
      </x:c>
      <x:c r="E86" s="6" t="str">
        <x:v>60m</x:v>
      </x:c>
      <x:c r="F86" s="6" t="str">
        <x:v>Fuera del alcance Sprint 2</x:v>
      </x:c>
      <x:c r="G86" s="6" t="str">
        <x:v>Diferir a backlog posterior</x:v>
      </x:c>
      <x:c r="H86" s="7" t="str">
        <x:v>Corresponde a FEFO, DTE, compras, devoluciones parciales o analytics; excede las cinco metas y la capacidad.</x:v>
      </x:c>
      <x:c r="I86" s="6" t="str">
        <x:v>docs/context/estado-actual.md; docs/context/planificacion/roadmap.md; inspección estática del código</x:v>
      </x:c>
    </x:row>
    <x:row r="87" ht="40" customHeight="1">
      <x:c r="A87" s="6" t="n">
        <x:v>87</x:v>
      </x:c>
      <x:c r="B87" s="7" t="str">
        <x:v>Implementar `POST /ventas/{id}/devolucion-parcial`: Recibir array de items específicos.</x:v>
      </x:c>
      <x:c r="C87" s="6" t="str">
        <x:v>msanhueza2024</x:v>
      </x:c>
      <x:c r="D87" s="6" t="str">
        <x:v>Semana 7</x:v>
      </x:c>
      <x:c r="E87" s="6" t="str">
        <x:v>60m</x:v>
      </x:c>
      <x:c r="F87" s="6" t="str">
        <x:v>Fuera del alcance Sprint 2</x:v>
      </x:c>
      <x:c r="G87" s="6" t="str">
        <x:v>Diferir a backlog posterior</x:v>
      </x:c>
      <x:c r="H87" s="7" t="str">
        <x:v>Corresponde a FEFO, DTE, compras, devoluciones parciales o analytics; excede las cinco metas y la capacidad.</x:v>
      </x:c>
      <x:c r="I87" s="6" t="str">
        <x:v>docs/context/estado-actual.md; docs/context/planificacion/roadmap.md; inspección estática del código</x:v>
      </x:c>
    </x:row>
    <x:row r="88" ht="40" customHeight="1">
      <x:c r="A88" s="6" t="n">
        <x:v>88</x:v>
      </x:c>
      <x:c r="B88" s="7" t="str">
        <x:v>Recalcular subtotal e IVA proporcional a devolver en devolución parcial.</x:v>
      </x:c>
      <x:c r="C88" s="6" t="str">
        <x:v>msanhueza2024</x:v>
      </x:c>
      <x:c r="D88" s="6" t="str">
        <x:v>Semana 7</x:v>
      </x:c>
      <x:c r="E88" s="6" t="str">
        <x:v>50m</x:v>
      </x:c>
      <x:c r="F88" s="6" t="str">
        <x:v>Fuera del alcance Sprint 2</x:v>
      </x:c>
      <x:c r="G88" s="6" t="str">
        <x:v>Diferir a backlog posterior</x:v>
      </x:c>
      <x:c r="H88" s="7" t="str">
        <x:v>Corresponde a FEFO, DTE, compras, devoluciones parciales o analytics; excede las cinco metas y la capacidad.</x:v>
      </x:c>
      <x:c r="I88" s="6" t="str">
        <x:v>docs/context/estado-actual.md; docs/context/planificacion/roadmap.md; inspección estática del código</x:v>
      </x:c>
    </x:row>
    <x:row r="89" ht="40" customHeight="1">
      <x:c r="A89" s="6" t="n">
        <x:v>89</x:v>
      </x:c>
      <x:c r="B89" s="7" t="str">
        <x:v>Modificar `OrdenCompra` para incluir: Flete, Seguro, Aranceles aduaneros.</x:v>
      </x:c>
      <x:c r="C89" s="6" t="str">
        <x:v>nmartinez2024</x:v>
      </x:c>
      <x:c r="D89" s="6" t="str">
        <x:v>Semana 7</x:v>
      </x:c>
      <x:c r="E89" s="6" t="str">
        <x:v>30m</x:v>
      </x:c>
      <x:c r="F89" s="6" t="str">
        <x:v>Fuera del alcance Sprint 2</x:v>
      </x:c>
      <x:c r="G89" s="6" t="str">
        <x:v>Diferir a backlog posterior</x:v>
      </x:c>
      <x:c r="H89" s="7" t="str">
        <x:v>Corresponde a FEFO, DTE, compras, devoluciones parciales o analytics; excede las cinco metas y la capacidad.</x:v>
      </x:c>
      <x:c r="I89" s="6" t="str">
        <x:v>docs/context/estado-actual.md; docs/context/planificacion/roadmap.md; inspección estática del código</x:v>
      </x:c>
    </x:row>
    <x:row r="90" ht="40" customHeight="1">
      <x:c r="A90" s="6" t="n">
        <x:v>90</x:v>
      </x:c>
      <x:c r="B90" s="7" t="str">
        <x:v>Implementar `PUT /ordenes-compra/{id}/costos-adicionales`.</x:v>
      </x:c>
      <x:c r="C90" s="6" t="str">
        <x:v>nmartinez2024</x:v>
      </x:c>
      <x:c r="D90" s="6" t="str">
        <x:v>Semana 7</x:v>
      </x:c>
      <x:c r="E90" s="6" t="str">
        <x:v>40m</x:v>
      </x:c>
      <x:c r="F90" s="6" t="str">
        <x:v>Fuera del alcance Sprint 2</x:v>
      </x:c>
      <x:c r="G90" s="6" t="str">
        <x:v>Diferir a backlog posterior</x:v>
      </x:c>
      <x:c r="H90" s="7" t="str">
        <x:v>Corresponde a FEFO, DTE, compras, devoluciones parciales o analytics; excede las cinco metas y la capacidad.</x:v>
      </x:c>
      <x:c r="I90" s="6" t="str">
        <x:v>docs/context/estado-actual.md; docs/context/planificacion/roadmap.md; inspección estática del código</x:v>
      </x:c>
    </x:row>
    <x:row r="91" ht="40" customHeight="1">
      <x:c r="A91" s="6" t="n">
        <x:v>91</x:v>
      </x:c>
      <x:c r="B91" s="7" t="str">
        <x:v>Crear `LandedCostCalculatorService`: Lógica de prorrateo proporcional al precio de items.</x:v>
      </x:c>
      <x:c r="C91" s="6" t="str">
        <x:v>nmartinez2024</x:v>
      </x:c>
      <x:c r="D91" s="6" t="str">
        <x:v>Semana 7</x:v>
      </x:c>
      <x:c r="E91" s="6" t="str">
        <x:v>60m</x:v>
      </x:c>
      <x:c r="F91" s="6" t="str">
        <x:v>Fuera del alcance Sprint 2</x:v>
      </x:c>
      <x:c r="G91" s="6" t="str">
        <x:v>Diferir a backlog posterior</x:v>
      </x:c>
      <x:c r="H91" s="7" t="str">
        <x:v>Corresponde a FEFO, DTE, compras, devoluciones parciales o analytics; excede las cinco metas y la capacidad.</x:v>
      </x:c>
      <x:c r="I91" s="6" t="str">
        <x:v>docs/context/estado-actual.md; docs/context/planificacion/roadmap.md; inspección estática del código</x:v>
      </x:c>
    </x:row>
    <x:row r="92" ht="40" customHeight="1">
      <x:c r="A92" s="6" t="n">
        <x:v>92</x:v>
      </x:c>
      <x:c r="B92" s="7" t="str">
        <x:v>Implementar `POST /ordenes-compra/{id}/landed-cost` que ejecute el cálculo.</x:v>
      </x:c>
      <x:c r="C92" s="6" t="str">
        <x:v>nmartinez2024</x:v>
      </x:c>
      <x:c r="D92" s="6" t="str">
        <x:v>Semana 7</x:v>
      </x:c>
      <x:c r="E92" s="6" t="str">
        <x:v>50m</x:v>
      </x:c>
      <x:c r="F92" s="6" t="str">
        <x:v>Fuera del alcance Sprint 2</x:v>
      </x:c>
      <x:c r="G92" s="6" t="str">
        <x:v>Diferir a backlog posterior</x:v>
      </x:c>
      <x:c r="H92" s="7" t="str">
        <x:v>Corresponde a FEFO, DTE, compras, devoluciones parciales o analytics; excede las cinco metas y la capacidad.</x:v>
      </x:c>
      <x:c r="I92" s="6" t="str">
        <x:v>docs/context/estado-actual.md; docs/context/planificacion/roadmap.md; inspección estática del código</x:v>
      </x:c>
    </x:row>
    <x:row r="93" ht="40" customHeight="1">
      <x:c r="A93" s="6" t="n">
        <x:v>93</x:v>
      </x:c>
      <x:c r="B93" s="7" t="str">
        <x:v>Actualizar `ItemOrdenCompra` con el nuevo "costo unitario real" ajustado.</x:v>
      </x:c>
      <x:c r="C93" s="6" t="str">
        <x:v>nmartinez2024</x:v>
      </x:c>
      <x:c r="D93" s="6" t="str">
        <x:v>Semana 7</x:v>
      </x:c>
      <x:c r="E93" s="6" t="str">
        <x:v>40m</x:v>
      </x:c>
      <x:c r="F93" s="6" t="str">
        <x:v>Fuera del alcance Sprint 2</x:v>
      </x:c>
      <x:c r="G93" s="6" t="str">
        <x:v>Diferir a backlog posterior</x:v>
      </x:c>
      <x:c r="H93" s="7" t="str">
        <x:v>Corresponde a FEFO, DTE, compras, devoluciones parciales o analytics; excede las cinco metas y la capacidad.</x:v>
      </x:c>
      <x:c r="I93" s="6" t="str">
        <x:v>docs/context/estado-actual.md; docs/context/planificacion/roadmap.md; inspección estática del código</x:v>
      </x:c>
    </x:row>
    <x:row r="94" ht="40" customHeight="1">
      <x:c r="A94" s="6" t="n">
        <x:v>94</x:v>
      </x:c>
      <x:c r="B94" s="7" t="str">
        <x:v>Crear endpoint `PUT /ordenes-compra/{id}/aprobar` para congelar costos.</x:v>
      </x:c>
      <x:c r="C94" s="6" t="str">
        <x:v>nmartinez2024</x:v>
      </x:c>
      <x:c r="D94" s="6" t="str">
        <x:v>Semana 7</x:v>
      </x:c>
      <x:c r="E94" s="6" t="str">
        <x:v>40m</x:v>
      </x:c>
      <x:c r="F94" s="6" t="str">
        <x:v>Fuera del alcance Sprint 2</x:v>
      </x:c>
      <x:c r="G94" s="6" t="str">
        <x:v>Diferir a backlog posterior</x:v>
      </x:c>
      <x:c r="H94" s="7" t="str">
        <x:v>Corresponde a FEFO, DTE, compras, devoluciones parciales o analytics; excede las cinco metas y la capacidad.</x:v>
      </x:c>
      <x:c r="I94" s="6" t="str">
        <x:v>docs/context/estado-actual.md; docs/context/planificacion/roadmap.md; inspección estática del código</x:v>
      </x:c>
    </x:row>
    <x:row r="95" ht="40" customHeight="1">
      <x:c r="A95" s="6" t="n">
        <x:v>95</x:v>
      </x:c>
      <x:c r="B95" s="7" t="str">
        <x:v>Pruebas Postman: Validar que la suma del prorrateo coincida con los costos base.</x:v>
      </x:c>
      <x:c r="C95" s="6" t="str">
        <x:v>nmartinez2024</x:v>
      </x:c>
      <x:c r="D95" s="6" t="str">
        <x:v>Semana 7</x:v>
      </x:c>
      <x:c r="E95" s="6" t="str">
        <x:v>40m</x:v>
      </x:c>
      <x:c r="F95" s="6" t="str">
        <x:v>No verificada</x:v>
      </x:c>
      <x:c r="G95" s="6" t="str">
        <x:v>No contar como completada</x:v>
      </x:c>
      <x:c r="H95" s="7" t="str">
        <x:v>La tarea pide prueba manual o evidencia de ejecución no disponible en el repositorio.</x:v>
      </x:c>
      <x:c r="I95" s="6" t="str">
        <x:v>[NO VERIFICADO] requiere registro de ejecución o revisión manual; el código no demuestra el cierre.</x:v>
      </x:c>
    </x:row>
    <x:row r="96" ht="40" customHeight="1">
      <x:c r="A96" s="6" t="n">
        <x:v>96</x:v>
      </x:c>
      <x:c r="B96" s="7" t="str">
        <x:v>Crear vista `Devoluciones` accesible desde el navbar.</x:v>
      </x:c>
      <x:c r="C96" s="6" t="str">
        <x:v>admin</x:v>
      </x:c>
      <x:c r="D96" s="6" t="str">
        <x:v>Semana 7</x:v>
      </x:c>
      <x:c r="E96" s="6" t="str">
        <x:v>40m</x:v>
      </x:c>
      <x:c r="F96" s="6" t="str">
        <x:v>Fuera del alcance Sprint 2</x:v>
      </x:c>
      <x:c r="G96" s="6" t="str">
        <x:v>Diferir a backlog posterior</x:v>
      </x:c>
      <x:c r="H96" s="7" t="str">
        <x:v>Corresponde a FEFO, DTE, compras, devoluciones parciales o analytics; excede las cinco metas y la capacidad.</x:v>
      </x:c>
      <x:c r="I96" s="6" t="str">
        <x:v>docs/context/estado-actual.md; docs/context/planificacion/roadmap.md; inspección estática del código</x:v>
      </x:c>
    </x:row>
    <x:row r="97" ht="40" customHeight="1">
      <x:c r="A97" s="6" t="n">
        <x:v>97</x:v>
      </x:c>
      <x:c r="B97" s="7" t="str">
        <x:v>Input buscador de ventas por ID de ticket o folio.</x:v>
      </x:c>
      <x:c r="C97" s="6" t="str">
        <x:v>admin</x:v>
      </x:c>
      <x:c r="D97" s="6" t="str">
        <x:v>Semana 7</x:v>
      </x:c>
      <x:c r="E97" s="6" t="str">
        <x:v>40m</x:v>
      </x:c>
      <x:c r="F97" s="6" t="str">
        <x:v>Fuera del alcance Sprint 2</x:v>
      </x:c>
      <x:c r="G97" s="6" t="str">
        <x:v>Diferir a backlog posterior</x:v>
      </x:c>
      <x:c r="H97" s="7" t="str">
        <x:v>Corresponde a FEFO, DTE, compras, devoluciones parciales o analytics; excede las cinco metas y la capacidad.</x:v>
      </x:c>
      <x:c r="I97" s="6" t="str">
        <x:v>docs/context/estado-actual.md; docs/context/planificacion/roadmap.md; inspección estática del código</x:v>
      </x:c>
    </x:row>
    <x:row r="98" ht="40" customHeight="1">
      <x:c r="A98" s="6" t="n">
        <x:v>98</x:v>
      </x:c>
      <x:c r="B98" s="7" t="str">
        <x:v>Vista detalle: Mostrar items originales de la venta y montos.</x:v>
      </x:c>
      <x:c r="C98" s="6" t="str">
        <x:v>admin</x:v>
      </x:c>
      <x:c r="D98" s="6" t="str">
        <x:v>Semana 7</x:v>
      </x:c>
      <x:c r="E98" s="6" t="str">
        <x:v>40m</x:v>
      </x:c>
      <x:c r="F98" s="6" t="str">
        <x:v>Fuera del alcance Sprint 2</x:v>
      </x:c>
      <x:c r="G98" s="6" t="str">
        <x:v>Diferir a backlog posterior</x:v>
      </x:c>
      <x:c r="H98" s="7" t="str">
        <x:v>Corresponde a FEFO, DTE, compras, devoluciones parciales o analytics; excede las cinco metas y la capacidad.</x:v>
      </x:c>
      <x:c r="I98" s="6" t="str">
        <x:v>docs/context/estado-actual.md; docs/context/planificacion/roadmap.md; inspección estática del código</x:v>
      </x:c>
    </x:row>
    <x:row r="99" ht="40" customHeight="1">
      <x:c r="A99" s="6" t="n">
        <x:v>99</x:v>
      </x:c>
      <x:c r="B99" s="7" t="str">
        <x:v>Botón "Devolución Total" con alerta de confirmación.</x:v>
      </x:c>
      <x:c r="C99" s="6" t="str">
        <x:v>admin</x:v>
      </x:c>
      <x:c r="D99" s="6" t="str">
        <x:v>Semana 7</x:v>
      </x:c>
      <x:c r="E99" s="6" t="str">
        <x:v>30m</x:v>
      </x:c>
      <x:c r="F99" s="6" t="str">
        <x:v>Fuera del alcance Sprint 2</x:v>
      </x:c>
      <x:c r="G99" s="6" t="str">
        <x:v>Diferir a backlog posterior</x:v>
      </x:c>
      <x:c r="H99" s="7" t="str">
        <x:v>Corresponde a FEFO, DTE, compras, devoluciones parciales o analytics; excede las cinco metas y la capacidad.</x:v>
      </x:c>
      <x:c r="I99" s="6" t="str">
        <x:v>docs/context/estado-actual.md; docs/context/planificacion/roadmap.md; inspección estática del código</x:v>
      </x:c>
    </x:row>
    <x:row r="100" ht="40" customHeight="1">
      <x:c r="A100" s="6" t="n">
        <x:v>100</x:v>
      </x:c>
      <x:c r="B100" s="7" t="str">
        <x:v>UI "Devolución Parcial": Checkboxes/Inputs de cantidad por fila de producto.</x:v>
      </x:c>
      <x:c r="C100" s="6" t="str">
        <x:v>admin</x:v>
      </x:c>
      <x:c r="D100" s="6" t="str">
        <x:v>Semana 7</x:v>
      </x:c>
      <x:c r="E100" s="6" t="str">
        <x:v>60m</x:v>
      </x:c>
      <x:c r="F100" s="6" t="str">
        <x:v>Fuera del alcance Sprint 2</x:v>
      </x:c>
      <x:c r="G100" s="6" t="str">
        <x:v>Diferir a backlog posterior</x:v>
      </x:c>
      <x:c r="H100" s="7" t="str">
        <x:v>Corresponde a FEFO, DTE, compras, devoluciones parciales o analytics; excede las cinco metas y la capacidad.</x:v>
      </x:c>
      <x:c r="I100" s="6" t="str">
        <x:v>docs/context/estado-actual.md; docs/context/planificacion/roadmap.md; inspección estática del código</x:v>
      </x:c>
    </x:row>
    <x:row r="101" ht="40" customHeight="1">
      <x:c r="A101" s="6" t="n">
        <x:v>101</x:v>
      </x:c>
      <x:c r="B101" s="7" t="str">
        <x:v>Integrar UI con APIs respectivas de MS-5.</x:v>
      </x:c>
      <x:c r="C101" s="6" t="str">
        <x:v>admin</x:v>
      </x:c>
      <x:c r="D101" s="6" t="str">
        <x:v>Semana 7</x:v>
      </x:c>
      <x:c r="E101" s="6" t="str">
        <x:v>50m</x:v>
      </x:c>
      <x:c r="F101" s="6" t="str">
        <x:v>Fuera del alcance Sprint 2</x:v>
      </x:c>
      <x:c r="G101" s="6" t="str">
        <x:v>Diferir a backlog posterior</x:v>
      </x:c>
      <x:c r="H101" s="7" t="str">
        <x:v>Corresponde a FEFO, DTE, compras, devoluciones parciales o analytics; excede las cinco metas y la capacidad.</x:v>
      </x:c>
      <x:c r="I101" s="6" t="str">
        <x:v>docs/context/estado-actual.md; docs/context/planificacion/roadmap.md; inspección estática del código</x:v>
      </x:c>
    </x:row>
    <x:row r="102" ht="40" customHeight="1">
      <x:c r="A102" s="6" t="n">
        <x:v>102</x:v>
      </x:c>
      <x:c r="B102" s="7" t="str">
        <x:v>Feedback visual: Mostrar estado del reembolso bancario.</x:v>
      </x:c>
      <x:c r="C102" s="6" t="str">
        <x:v>admin</x:v>
      </x:c>
      <x:c r="D102" s="6" t="str">
        <x:v>Semana 7</x:v>
      </x:c>
      <x:c r="E102" s="6" t="str">
        <x:v>40m</x:v>
      </x:c>
      <x:c r="F102" s="6" t="str">
        <x:v>Fuera del alcance Sprint 2</x:v>
      </x:c>
      <x:c r="G102" s="6" t="str">
        <x:v>Diferir a backlog posterior</x:v>
      </x:c>
      <x:c r="H102" s="7" t="str">
        <x:v>Corresponde a FEFO, DTE, compras, devoluciones parciales o analytics; excede las cinco metas y la capacidad.</x:v>
      </x:c>
      <x:c r="I102" s="6" t="str">
        <x:v>docs/context/estado-actual.md; docs/context/planificacion/roadmap.md; inspección estática del código</x:v>
      </x:c>
    </x:row>
    <x:row r="103" ht="40" customHeight="1">
      <x:c r="A103" s="6" t="n">
        <x:v>103</x:v>
      </x:c>
      <x:c r="B103" s="7" t="str">
        <x:v>Agregar sección "Costos Adicionales de Importación" en la vista detalle OC.</x:v>
      </x:c>
      <x:c r="C103" s="6" t="str">
        <x:v>dprado2024</x:v>
      </x:c>
      <x:c r="D103" s="6" t="str">
        <x:v>Semana 7</x:v>
      </x:c>
      <x:c r="E103" s="6" t="str">
        <x:v>40m</x:v>
      </x:c>
      <x:c r="F103" s="6" t="str">
        <x:v>Fuera del alcance Sprint 2</x:v>
      </x:c>
      <x:c r="G103" s="6" t="str">
        <x:v>Diferir a backlog posterior</x:v>
      </x:c>
      <x:c r="H103" s="7" t="str">
        <x:v>Corresponde a FEFO, DTE, compras, devoluciones parciales o analytics; excede las cinco metas y la capacidad.</x:v>
      </x:c>
      <x:c r="I103" s="6" t="str">
        <x:v>docs/context/estado-actual.md; docs/context/planificacion/roadmap.md; inspección estática del código</x:v>
      </x:c>
    </x:row>
    <x:row r="104" ht="40" customHeight="1">
      <x:c r="A104" s="6" t="n">
        <x:v>104</x:v>
      </x:c>
      <x:c r="B104" s="7" t="str">
        <x:v>Formulario para ingresar Flete, Seguro, Aduana y llamar al `PUT`.</x:v>
      </x:c>
      <x:c r="C104" s="6" t="str">
        <x:v>dprado2024</x:v>
      </x:c>
      <x:c r="D104" s="6" t="str">
        <x:v>Semana 7</x:v>
      </x:c>
      <x:c r="E104" s="6" t="str">
        <x:v>40m</x:v>
      </x:c>
      <x:c r="F104" s="6" t="str">
        <x:v>Fuera del alcance Sprint 2</x:v>
      </x:c>
      <x:c r="G104" s="6" t="str">
        <x:v>Diferir a backlog posterior</x:v>
      </x:c>
      <x:c r="H104" s="7" t="str">
        <x:v>Corresponde a FEFO, DTE, compras, devoluciones parciales o analytics; excede las cinco metas y la capacidad.</x:v>
      </x:c>
      <x:c r="I104" s="6" t="str">
        <x:v>docs/context/estado-actual.md; docs/context/planificacion/roadmap.md; inspección estática del código</x:v>
      </x:c>
    </x:row>
    <x:row r="105" ht="40" customHeight="1">
      <x:c r="A105" s="6" t="n">
        <x:v>105</x:v>
      </x:c>
      <x:c r="B105" s="7" t="str">
        <x:v>Botón "Calcular Costo Landed" que invoca cálculo en backend.</x:v>
      </x:c>
      <x:c r="C105" s="6" t="str">
        <x:v>dprado2024</x:v>
      </x:c>
      <x:c r="D105" s="6" t="str">
        <x:v>Semana 7</x:v>
      </x:c>
      <x:c r="E105" s="6" t="str">
        <x:v>30m</x:v>
      </x:c>
      <x:c r="F105" s="6" t="str">
        <x:v>Fuera del alcance Sprint 2</x:v>
      </x:c>
      <x:c r="G105" s="6" t="str">
        <x:v>Diferir a backlog posterior</x:v>
      </x:c>
      <x:c r="H105" s="7" t="str">
        <x:v>Corresponde a FEFO, DTE, compras, devoluciones parciales o analytics; excede las cinco metas y la capacidad.</x:v>
      </x:c>
      <x:c r="I105" s="6" t="str">
        <x:v>docs/context/estado-actual.md; docs/context/planificacion/roadmap.md; inspección estática del código</x:v>
      </x:c>
    </x:row>
    <x:row r="106" ht="40" customHeight="1">
      <x:c r="A106" s="6" t="n">
        <x:v>106</x:v>
      </x:c>
      <x:c r="B106" s="7" t="str">
        <x:v>Agregar columna "Costo Unitario Real" en la tabla de la OC.</x:v>
      </x:c>
      <x:c r="C106" s="6" t="str">
        <x:v>dprado2024</x:v>
      </x:c>
      <x:c r="D106" s="6" t="str">
        <x:v>Semana 7</x:v>
      </x:c>
      <x:c r="E106" s="6" t="str">
        <x:v>50m</x:v>
      </x:c>
      <x:c r="F106" s="6" t="str">
        <x:v>Fuera del alcance Sprint 2</x:v>
      </x:c>
      <x:c r="G106" s="6" t="str">
        <x:v>Diferir a backlog posterior</x:v>
      </x:c>
      <x:c r="H106" s="7" t="str">
        <x:v>Corresponde a FEFO, DTE, compras, devoluciones parciales o analytics; excede las cinco metas y la capacidad.</x:v>
      </x:c>
      <x:c r="I106" s="6" t="str">
        <x:v>docs/context/estado-actual.md; docs/context/planificacion/roadmap.md; inspección estática del código</x:v>
      </x:c>
    </x:row>
    <x:row r="107" ht="40" customHeight="1">
      <x:c r="A107" s="6" t="n">
        <x:v>107</x:v>
      </x:c>
      <x:c r="B107" s="7" t="str">
        <x:v>Botón "Aprobar OC" para transicionar de BORRADOR a APROBADA.</x:v>
      </x:c>
      <x:c r="C107" s="6" t="str">
        <x:v>dprado2024</x:v>
      </x:c>
      <x:c r="D107" s="6" t="str">
        <x:v>Semana 7</x:v>
      </x:c>
      <x:c r="E107" s="6" t="str">
        <x:v>40m</x:v>
      </x:c>
      <x:c r="F107" s="6" t="str">
        <x:v>Fuera del alcance Sprint 2</x:v>
      </x:c>
      <x:c r="G107" s="6" t="str">
        <x:v>Diferir a backlog posterior</x:v>
      </x:c>
      <x:c r="H107" s="7" t="str">
        <x:v>Corresponde a FEFO, DTE, compras, devoluciones parciales o analytics; excede las cinco metas y la capacidad.</x:v>
      </x:c>
      <x:c r="I107" s="6" t="str">
        <x:v>docs/context/estado-actual.md; docs/context/planificacion/roadmap.md; inspección estática del código</x:v>
      </x:c>
    </x:row>
    <x:row r="108" ht="40" customHeight="1">
      <x:c r="A108" s="6" t="n">
        <x:v>108</x:v>
      </x:c>
      <x:c r="B108" s="7" t="str">
        <x:v>Crear modal de "Recepción de Mercadería" para OCs aprobadas.</x:v>
      </x:c>
      <x:c r="C108" s="6" t="str">
        <x:v>dprado2024</x:v>
      </x:c>
      <x:c r="D108" s="6" t="str">
        <x:v>Semana 7</x:v>
      </x:c>
      <x:c r="E108" s="6" t="str">
        <x:v>50m</x:v>
      </x:c>
      <x:c r="F108" s="6" t="str">
        <x:v>Fuera del alcance Sprint 2</x:v>
      </x:c>
      <x:c r="G108" s="6" t="str">
        <x:v>Diferir a backlog posterior</x:v>
      </x:c>
      <x:c r="H108" s="7" t="str">
        <x:v>Corresponde a FEFO, DTE, compras, devoluciones parciales o analytics; excede las cinco metas y la capacidad.</x:v>
      </x:c>
      <x:c r="I108" s="6" t="str">
        <x:v>docs/context/estado-actual.md; docs/context/planificacion/roadmap.md; inspección estática del código</x:v>
      </x:c>
    </x:row>
    <x:row r="109" ht="40" customHeight="1">
      <x:c r="A109" s="6" t="n">
        <x:v>109</x:v>
      </x:c>
      <x:c r="B109" s="7" t="str">
        <x:v>Conectar modal con backend para cambiar estado a RECIBIDA.</x:v>
      </x:c>
      <x:c r="C109" s="6" t="str">
        <x:v>dprado2024</x:v>
      </x:c>
      <x:c r="D109" s="6" t="str">
        <x:v>Semana 7</x:v>
      </x:c>
      <x:c r="E109" s="6" t="str">
        <x:v>50m</x:v>
      </x:c>
      <x:c r="F109" s="6" t="str">
        <x:v>Fuera del alcance Sprint 2</x:v>
      </x:c>
      <x:c r="G109" s="6" t="str">
        <x:v>Diferir a backlog posterior</x:v>
      </x:c>
      <x:c r="H109" s="7" t="str">
        <x:v>Corresponde a FEFO, DTE, compras, devoluciones parciales o analytics; excede las cinco metas y la capacidad.</x:v>
      </x:c>
      <x:c r="I109" s="6" t="str">
        <x:v>docs/context/estado-actual.md; docs/context/planificacion/roadmap.md; inspección estática del código</x:v>
      </x:c>
    </x:row>
    <x:row r="110" ht="40" customHeight="1">
      <x:c r="A110" s="6" t="n">
        <x:v>110</x:v>
      </x:c>
      <x:c r="B110" s="7" t="str">
        <x:v>Crear `BackgroundService` en MS-4 que ejecute un barrido periódico (ej. cada hora).</x:v>
      </x:c>
      <x:c r="C110" s="6" t="str">
        <x:v>dleiva2024</x:v>
      </x:c>
      <x:c r="D110" s="6" t="str">
        <x:v>Semana 7</x:v>
      </x:c>
      <x:c r="E110" s="6" t="str">
        <x:v>60m</x:v>
      </x:c>
      <x:c r="F110" s="6" t="str">
        <x:v>Fuera del alcance Sprint 2</x:v>
      </x:c>
      <x:c r="G110" s="6" t="str">
        <x:v>Diferir a backlog posterior</x:v>
      </x:c>
      <x:c r="H110" s="7" t="str">
        <x:v>Corresponde a FEFO, DTE, compras, devoluciones parciales o analytics; excede las cinco metas y la capacidad.</x:v>
      </x:c>
      <x:c r="I110" s="6" t="str">
        <x:v>docs/context/estado-actual.md; docs/context/planificacion/roadmap.md; inspección estática del código</x:v>
      </x:c>
    </x:row>
    <x:row r="111" ht="40" customHeight="1">
      <x:c r="A111" s="6" t="n">
        <x:v>111</x:v>
      </x:c>
      <x:c r="B111" s="7" t="str">
        <x:v>Query EF: Detectar productos donde cantidad en lotes &lt;= stock mínimo.</x:v>
      </x:c>
      <x:c r="C111" s="6" t="str">
        <x:v>dleiva2024</x:v>
      </x:c>
      <x:c r="D111" s="6" t="str">
        <x:v>Semana 7</x:v>
      </x:c>
      <x:c r="E111" s="6" t="str">
        <x:v>40m</x:v>
      </x:c>
      <x:c r="F111" s="6" t="str">
        <x:v>Fuera del alcance Sprint 2</x:v>
      </x:c>
      <x:c r="G111" s="6" t="str">
        <x:v>Diferir a backlog posterior</x:v>
      </x:c>
      <x:c r="H111" s="7" t="str">
        <x:v>Corresponde a FEFO, DTE, compras, devoluciones parciales o analytics; excede las cinco metas y la capacidad.</x:v>
      </x:c>
      <x:c r="I111" s="6" t="str">
        <x:v>docs/context/estado-actual.md; docs/context/planificacion/roadmap.md; inspección estática del código</x:v>
      </x:c>
    </x:row>
    <x:row r="112" ht="40" customHeight="1">
      <x:c r="A112" s="6" t="n">
        <x:v>112</x:v>
      </x:c>
      <x:c r="B112" s="7" t="str">
        <x:v>Query EF: Detectar lotes con fecha vencimiento en &lt; 7 días.</x:v>
      </x:c>
      <x:c r="C112" s="6" t="str">
        <x:v>dleiva2024</x:v>
      </x:c>
      <x:c r="D112" s="6" t="str">
        <x:v>Semana 7</x:v>
      </x:c>
      <x:c r="E112" s="6" t="str">
        <x:v>40m</x:v>
      </x:c>
      <x:c r="F112" s="6" t="str">
        <x:v>Fuera del alcance Sprint 2</x:v>
      </x:c>
      <x:c r="G112" s="6" t="str">
        <x:v>Diferir a backlog posterior</x:v>
      </x:c>
      <x:c r="H112" s="7" t="str">
        <x:v>Corresponde a FEFO, DTE, compras, devoluciones parciales o analytics; excede las cinco metas y la capacidad.</x:v>
      </x:c>
      <x:c r="I112" s="6" t="str">
        <x:v>docs/context/estado-actual.md; docs/context/planificacion/roadmap.md; inspección estática del código</x:v>
      </x:c>
    </x:row>
    <x:row r="113" ht="40" customHeight="1">
      <x:c r="A113" s="6" t="n">
        <x:v>113</x:v>
      </x:c>
      <x:c r="B113" s="7" t="str">
        <x:v>Integrar Productor Kafka dentro del HostedService.</x:v>
      </x:c>
      <x:c r="C113" s="6" t="str">
        <x:v>dleiva2024</x:v>
      </x:c>
      <x:c r="D113" s="6" t="str">
        <x:v>Semana 7</x:v>
      </x:c>
      <x:c r="E113" s="6" t="str">
        <x:v>30m</x:v>
      </x:c>
      <x:c r="F113" s="6" t="str">
        <x:v>Fuera del alcance Sprint 2</x:v>
      </x:c>
      <x:c r="G113" s="6" t="str">
        <x:v>Diferir a backlog posterior</x:v>
      </x:c>
      <x:c r="H113" s="7" t="str">
        <x:v>Corresponde a FEFO, DTE, compras, devoluciones parciales o analytics; excede las cinco metas y la capacidad.</x:v>
      </x:c>
      <x:c r="I113" s="6" t="str">
        <x:v>docs/context/estado-actual.md; docs/context/planificacion/roadmap.md; inspección estática del código</x:v>
      </x:c>
    </x:row>
    <x:row r="114" ht="40" customHeight="1">
      <x:c r="A114" s="6" t="n">
        <x:v>114</x:v>
      </x:c>
      <x:c r="B114" s="7" t="str">
        <x:v>Publicar eventos `stock.alert` y `expiry.alert`.</x:v>
      </x:c>
      <x:c r="C114" s="6" t="str">
        <x:v>dleiva2024</x:v>
      </x:c>
      <x:c r="D114" s="6" t="str">
        <x:v>Semana 7</x:v>
      </x:c>
      <x:c r="E114" s="6" t="str">
        <x:v>50m</x:v>
      </x:c>
      <x:c r="F114" s="6" t="str">
        <x:v>Fuera del alcance Sprint 2</x:v>
      </x:c>
      <x:c r="G114" s="6" t="str">
        <x:v>Diferir a backlog posterior</x:v>
      </x:c>
      <x:c r="H114" s="7" t="str">
        <x:v>Corresponde a FEFO, DTE, compras, devoluciones parciales o analytics; excede las cinco metas y la capacidad.</x:v>
      </x:c>
      <x:c r="I114" s="6" t="str">
        <x:v>docs/context/estado-actual.md; docs/context/planificacion/roadmap.md; inspección estática del código</x:v>
      </x:c>
    </x:row>
    <x:row r="115" ht="40" customHeight="1">
      <x:c r="A115" s="6" t="n">
        <x:v>115</x:v>
      </x:c>
      <x:c r="B115" s="7" t="str">
        <x:v>Crear tabla interna para evitar emitir la misma alerta 2 veces el mismo día.</x:v>
      </x:c>
      <x:c r="C115" s="6" t="str">
        <x:v>dleiva2024</x:v>
      </x:c>
      <x:c r="D115" s="6" t="str">
        <x:v>Semana 7</x:v>
      </x:c>
      <x:c r="E115" s="6" t="str">
        <x:v>60m</x:v>
      </x:c>
      <x:c r="F115" s="6" t="str">
        <x:v>Fuera del alcance Sprint 2</x:v>
      </x:c>
      <x:c r="G115" s="6" t="str">
        <x:v>Diferir a backlog posterior</x:v>
      </x:c>
      <x:c r="H115" s="7" t="str">
        <x:v>Corresponde a FEFO, DTE, compras, devoluciones parciales o analytics; excede las cinco metas y la capacidad.</x:v>
      </x:c>
      <x:c r="I115" s="6" t="str">
        <x:v>docs/context/estado-actual.md; docs/context/planificacion/roadmap.md; inspección estática del código</x:v>
      </x:c>
    </x:row>
    <x:row r="116" ht="40" customHeight="1">
      <x:c r="A116" s="6" t="n">
        <x:v>116</x:v>
      </x:c>
      <x:c r="B116" s="7" t="str">
        <x:v>Pruebas de ejecución en entorno local.</x:v>
      </x:c>
      <x:c r="C116" s="6" t="str">
        <x:v>dleiva2024</x:v>
      </x:c>
      <x:c r="D116" s="6" t="str">
        <x:v>Semana 7</x:v>
      </x:c>
      <x:c r="E116" s="6" t="str">
        <x:v>20m</x:v>
      </x:c>
      <x:c r="F116" s="6" t="str">
        <x:v>No verificada</x:v>
      </x:c>
      <x:c r="G116" s="6" t="str">
        <x:v>No contar como completada</x:v>
      </x:c>
      <x:c r="H116" s="7" t="str">
        <x:v>La tarea pide prueba manual o evidencia de ejecución no disponible en el repositorio.</x:v>
      </x:c>
      <x:c r="I116" s="6" t="str">
        <x:v>[NO VERIFICADO] requiere registro de ejecución o revisión manual; el código no demuestra el cierre.</x:v>
      </x:c>
    </x:row>
    <x:row r="117" ht="40" customHeight="1">
      <x:c r="A117" s="6" t="n">
        <x:v>117</x:v>
      </x:c>
      <x:c r="B117" s="7" t="str">
        <x:v>Configurar BD para MS-7 con tabla `Alertas`.</x:v>
      </x:c>
      <x:c r="C117" s="6" t="str">
        <x:v>spereda2024</x:v>
      </x:c>
      <x:c r="D117" s="6" t="str">
        <x:v>Semana 7</x:v>
      </x:c>
      <x:c r="E117" s="6" t="str">
        <x:v>40m</x:v>
      </x:c>
      <x:c r="F117" s="6" t="str">
        <x:v>Implementada en código</x:v>
      </x:c>
      <x:c r="G117" s="6" t="str">
        <x:v>Excluir de nueva capacidad</x:v>
      </x:c>
      <x:c r="H117" s="7" t="str">
        <x:v>Controller, servicio, modelo o migración presente en el repositorio.</x:v>
      </x:c>
      <x:c r="I117" s="6" t="str">
        <x:v>src/AnalyticsNotificationService/Models/; Data/Migrations/</x:v>
      </x:c>
    </x:row>
    <x:row r="118" ht="40" customHeight="1">
      <x:c r="A118" s="6" t="n">
        <x:v>118</x:v>
      </x:c>
      <x:c r="B118" s="7" t="str">
        <x:v>Crear Consumer Kafka en MS-7 para suscribirse a alertas de MS-4.</x:v>
      </x:c>
      <x:c r="C118" s="6" t="str">
        <x:v>spereda2024</x:v>
      </x:c>
      <x:c r="D118" s="6" t="str">
        <x:v>Semana 7</x:v>
      </x:c>
      <x:c r="E118" s="6" t="str">
        <x:v>60m</x:v>
      </x:c>
      <x:c r="F118" s="6" t="str">
        <x:v>Fuera del alcance Sprint 2</x:v>
      </x:c>
      <x:c r="G118" s="6" t="str">
        <x:v>Diferir a backlog posterior</x:v>
      </x:c>
      <x:c r="H118" s="7" t="str">
        <x:v>Corresponde a FEFO, DTE, compras, devoluciones parciales o analytics; excede las cinco metas y la capacidad.</x:v>
      </x:c>
      <x:c r="I118" s="6" t="str">
        <x:v>docs/context/estado-actual.md; docs/context/planificacion/roadmap.md; inspección estática del código</x:v>
      </x:c>
    </x:row>
    <x:row r="119" ht="40" customHeight="1">
      <x:c r="A119" s="6" t="n">
        <x:v>119</x:v>
      </x:c>
      <x:c r="B119" s="7" t="str">
        <x:v>Lógica Consumer: Insertar alertas en BD (nivel severidad dinámico).</x:v>
      </x:c>
      <x:c r="C119" s="6" t="str">
        <x:v>spereda2024</x:v>
      </x:c>
      <x:c r="D119" s="6" t="str">
        <x:v>Semana 7</x:v>
      </x:c>
      <x:c r="E119" s="6" t="str">
        <x:v>40m</x:v>
      </x:c>
      <x:c r="F119" s="6" t="str">
        <x:v>Fuera del alcance Sprint 2</x:v>
      </x:c>
      <x:c r="G119" s="6" t="str">
        <x:v>Diferir a backlog posterior</x:v>
      </x:c>
      <x:c r="H119" s="7" t="str">
        <x:v>Corresponde a FEFO, DTE, compras, devoluciones parciales o analytics; excede las cinco metas y la capacidad.</x:v>
      </x:c>
      <x:c r="I119" s="6" t="str">
        <x:v>docs/context/estado-actual.md; docs/context/planificacion/roadmap.md; inspección estática del código</x:v>
      </x:c>
    </x:row>
    <x:row r="120" ht="40" customHeight="1">
      <x:c r="A120" s="6" t="n">
        <x:v>120</x:v>
      </x:c>
      <x:c r="B120" s="7" t="str">
        <x:v>Implementar `GET /alertas`: Listado paginado de alertas activas del tenant.</x:v>
      </x:c>
      <x:c r="C120" s="6" t="str">
        <x:v>spereda2024</x:v>
      </x:c>
      <x:c r="D120" s="6" t="str">
        <x:v>Semana 7</x:v>
      </x:c>
      <x:c r="E120" s="6" t="str">
        <x:v>40m</x:v>
      </x:c>
      <x:c r="F120" s="6" t="str">
        <x:v>Fuera del alcance Sprint 2</x:v>
      </x:c>
      <x:c r="G120" s="6" t="str">
        <x:v>Diferir a backlog posterior</x:v>
      </x:c>
      <x:c r="H120" s="7" t="str">
        <x:v>Corresponde a FEFO, DTE, compras, devoluciones parciales o analytics; excede las cinco metas y la capacidad.</x:v>
      </x:c>
      <x:c r="I120" s="6" t="str">
        <x:v>docs/context/estado-actual.md; docs/context/planificacion/roadmap.md; inspección estática del código</x:v>
      </x:c>
    </x:row>
    <x:row r="121" ht="40" customHeight="1">
      <x:c r="A121" s="6" t="n">
        <x:v>121</x:v>
      </x:c>
      <x:c r="B121" s="7" t="str">
        <x:v>Implementar `PUT /alertas/{id}/resolver`: Marcar alerta como gestionada.</x:v>
      </x:c>
      <x:c r="C121" s="6" t="str">
        <x:v>spereda2024</x:v>
      </x:c>
      <x:c r="D121" s="6" t="str">
        <x:v>Semana 7</x:v>
      </x:c>
      <x:c r="E121" s="6" t="str">
        <x:v>40m</x:v>
      </x:c>
      <x:c r="F121" s="6" t="str">
        <x:v>Fuera del alcance Sprint 2</x:v>
      </x:c>
      <x:c r="G121" s="6" t="str">
        <x:v>Diferir a backlog posterior</x:v>
      </x:c>
      <x:c r="H121" s="7" t="str">
        <x:v>Corresponde a FEFO, DTE, compras, devoluciones parciales o analytics; excede las cinco metas y la capacidad.</x:v>
      </x:c>
      <x:c r="I121" s="6" t="str">
        <x:v>docs/context/estado-actual.md; docs/context/planificacion/roadmap.md; inspección estática del código</x:v>
      </x:c>
    </x:row>
    <x:row r="122" ht="40" customHeight="1">
      <x:c r="A122" s="6" t="n">
        <x:v>122</x:v>
      </x:c>
      <x:c r="B122" s="7" t="str">
        <x:v>Crear tabla `KPIVenta` para preparación de dashboards de la próxima semana.</x:v>
      </x:c>
      <x:c r="C122" s="6" t="str">
        <x:v>spereda2024</x:v>
      </x:c>
      <x:c r="D122" s="6" t="str">
        <x:v>Semana 7</x:v>
      </x:c>
      <x:c r="E122" s="6" t="str">
        <x:v>40m</x:v>
      </x:c>
      <x:c r="F122" s="6" t="str">
        <x:v>Implementada en código</x:v>
      </x:c>
      <x:c r="G122" s="6" t="str">
        <x:v>Excluir de nueva capacidad</x:v>
      </x:c>
      <x:c r="H122" s="7" t="str">
        <x:v>Controller, servicio, modelo o migración presente en el repositorio.</x:v>
      </x:c>
      <x:c r="I122" s="6" t="str">
        <x:v>src/AnalyticsNotificationService/Models/; Data/Migrations/</x:v>
      </x:c>
    </x:row>
    <x:row r="123" ht="40" customHeight="1">
      <x:c r="A123" s="6" t="n">
        <x:v>123</x:v>
      </x:c>
      <x:c r="B123" s="7" t="str">
        <x:v>Pruebas manuales: Forzar vencimiento en MS-4 y ver si llega a MS-7.</x:v>
      </x:c>
      <x:c r="C123" s="6" t="str">
        <x:v>spereda2024</x:v>
      </x:c>
      <x:c r="D123" s="6" t="str">
        <x:v>Semana 7</x:v>
      </x:c>
      <x:c r="E123" s="6" t="str">
        <x:v>40m</x:v>
      </x:c>
      <x:c r="F123" s="6" t="str">
        <x:v>No verificada</x:v>
      </x:c>
      <x:c r="G123" s="6" t="str">
        <x:v>No contar como completada</x:v>
      </x:c>
      <x:c r="H123" s="7" t="str">
        <x:v>La tarea pide prueba manual o evidencia de ejecución no disponible en el repositorio.</x:v>
      </x:c>
      <x:c r="I123" s="6" t="str">
        <x:v>[NO VERIFICADO] requiere registro de ejecución o revisión manual; el código no demuestra el cierre.</x:v>
      </x:c>
    </x:row>
    <x:row r="124" ht="40" customHeight="1">
      <x:c r="A124" s="6" t="n">
        <x:v>124</x:v>
      </x:c>
      <x:c r="B124" s="7" t="str">
        <x:v>Crear Kafka Consumer en MS-7 escuchando `sale.completed` y `sale.reversed`.</x:v>
      </x:c>
      <x:c r="C124" s="6" t="str">
        <x:v>msanhueza2024</x:v>
      </x:c>
      <x:c r="D124" s="6" t="str">
        <x:v>Semana 8</x:v>
      </x:c>
      <x:c r="E124" s="6" t="str">
        <x:v>60m</x:v>
      </x:c>
      <x:c r="F124" s="6" t="str">
        <x:v>Fuera del alcance Sprint 2</x:v>
      </x:c>
      <x:c r="G124" s="6" t="str">
        <x:v>Diferir a backlog posterior</x:v>
      </x:c>
      <x:c r="H124" s="7" t="str">
        <x:v>Corresponde a FEFO, DTE, compras, devoluciones parciales o analytics; excede las cinco metas y la capacidad.</x:v>
      </x:c>
      <x:c r="I124" s="6" t="str">
        <x:v>docs/context/estado-actual.md; docs/context/planificacion/roadmap.md; inspección estática del código</x:v>
      </x:c>
    </x:row>
    <x:row r="125" ht="40" customHeight="1">
      <x:c r="A125" s="6" t="n">
        <x:v>125</x:v>
      </x:c>
      <x:c r="B125" s="7" t="str">
        <x:v>Lógica: Actualizar registros diarios en tabla `KPIVenta` (sumar ventas, recalcular ticket promedio).</x:v>
      </x:c>
      <x:c r="C125" s="6" t="str">
        <x:v>msanhueza2024</x:v>
      </x:c>
      <x:c r="D125" s="6" t="str">
        <x:v>Semana 8</x:v>
      </x:c>
      <x:c r="E125" s="6" t="str">
        <x:v>60m</x:v>
      </x:c>
      <x:c r="F125" s="6" t="str">
        <x:v>Fuera del alcance Sprint 2</x:v>
      </x:c>
      <x:c r="G125" s="6" t="str">
        <x:v>Diferir a backlog posterior</x:v>
      </x:c>
      <x:c r="H125" s="7" t="str">
        <x:v>Corresponde a FEFO, DTE, compras, devoluciones parciales o analytics; excede las cinco metas y la capacidad.</x:v>
      </x:c>
      <x:c r="I125" s="6" t="str">
        <x:v>docs/context/estado-actual.md; docs/context/planificacion/roadmap.md; inspección estática del código</x:v>
      </x:c>
    </x:row>
    <x:row r="126" ht="40" customHeight="1">
      <x:c r="A126" s="6" t="n">
        <x:v>126</x:v>
      </x:c>
      <x:c r="B126" s="7" t="str">
        <x:v>Implementar `GET /dashboards/ventas`: Retornar resumen (ej: Hoy vs Ayer).</x:v>
      </x:c>
      <x:c r="C126" s="6" t="str">
        <x:v>msanhueza2024</x:v>
      </x:c>
      <x:c r="D126" s="6" t="str">
        <x:v>Semana 8</x:v>
      </x:c>
      <x:c r="E126" s="6" t="str">
        <x:v>50m</x:v>
      </x:c>
      <x:c r="F126" s="6" t="str">
        <x:v>Fuera del alcance Sprint 2</x:v>
      </x:c>
      <x:c r="G126" s="6" t="str">
        <x:v>Diferir a backlog posterior</x:v>
      </x:c>
      <x:c r="H126" s="7" t="str">
        <x:v>Corresponde a FEFO, DTE, compras, devoluciones parciales o analytics; excede las cinco metas y la capacidad.</x:v>
      </x:c>
      <x:c r="I126" s="6" t="str">
        <x:v>docs/context/estado-actual.md; docs/context/planificacion/roadmap.md; inspección estática del código</x:v>
      </x:c>
    </x:row>
    <x:row r="127" ht="40" customHeight="1">
      <x:c r="A127" s="6" t="n">
        <x:v>127</x:v>
      </x:c>
      <x:c r="B127" s="7" t="str">
        <x:v>Implementar `GET /dashboards/top-productos`: Extraer lista agregada desde los items del evento Kafka.</x:v>
      </x:c>
      <x:c r="C127" s="6" t="str">
        <x:v>msanhueza2024</x:v>
      </x:c>
      <x:c r="D127" s="6" t="str">
        <x:v>Semana 8</x:v>
      </x:c>
      <x:c r="E127" s="6" t="str">
        <x:v>50m</x:v>
      </x:c>
      <x:c r="F127" s="6" t="str">
        <x:v>Fuera del alcance Sprint 2</x:v>
      </x:c>
      <x:c r="G127" s="6" t="str">
        <x:v>Diferir a backlog posterior</x:v>
      </x:c>
      <x:c r="H127" s="7" t="str">
        <x:v>Corresponde a FEFO, DTE, compras, devoluciones parciales o analytics; excede las cinco metas y la capacidad.</x:v>
      </x:c>
      <x:c r="I127" s="6" t="str">
        <x:v>docs/context/estado-actual.md; docs/context/planificacion/roadmap.md; inspección estática del código</x:v>
      </x:c>
    </x:row>
    <x:row r="128" ht="40" customHeight="1">
      <x:c r="A128" s="6" t="n">
        <x:v>128</x:v>
      </x:c>
      <x:c r="B128" s="7" t="str">
        <x:v>Implementar `GET /dashboards/metodos-pago`: Métricas de Efectivo vs Tarjeta.</x:v>
      </x:c>
      <x:c r="C128" s="6" t="str">
        <x:v>msanhueza2024</x:v>
      </x:c>
      <x:c r="D128" s="6" t="str">
        <x:v>Semana 8</x:v>
      </x:c>
      <x:c r="E128" s="6" t="str">
        <x:v>40m</x:v>
      </x:c>
      <x:c r="F128" s="6" t="str">
        <x:v>Fuera del alcance Sprint 2</x:v>
      </x:c>
      <x:c r="G128" s="6" t="str">
        <x:v>Diferir a backlog posterior</x:v>
      </x:c>
      <x:c r="H128" s="7" t="str">
        <x:v>Corresponde a FEFO, DTE, compras, devoluciones parciales o analytics; excede las cinco metas y la capacidad.</x:v>
      </x:c>
      <x:c r="I128" s="6" t="str">
        <x:v>docs/context/estado-actual.md; docs/context/planificacion/roadmap.md; inspección estática del código</x:v>
      </x:c>
    </x:row>
    <x:row r="129" ht="40" customHeight="1">
      <x:c r="A129" s="6" t="n">
        <x:v>129</x:v>
      </x:c>
      <x:c r="B129" s="7" t="str">
        <x:v>Pruebas: Disparar script simulador de ventas y ver reflejo en KPIs.</x:v>
      </x:c>
      <x:c r="C129" s="6" t="str">
        <x:v>msanhueza2024</x:v>
      </x:c>
      <x:c r="D129" s="6" t="str">
        <x:v>Semana 8</x:v>
      </x:c>
      <x:c r="E129" s="6" t="str">
        <x:v>40m</x:v>
      </x:c>
      <x:c r="F129" s="6" t="str">
        <x:v>No verificada</x:v>
      </x:c>
      <x:c r="G129" s="6" t="str">
        <x:v>No contar como completada</x:v>
      </x:c>
      <x:c r="H129" s="7" t="str">
        <x:v>La tarea pide prueba manual o evidencia de ejecución no disponible en el repositorio.</x:v>
      </x:c>
      <x:c r="I129" s="6" t="str">
        <x:v>[NO VERIFICADO] requiere registro de ejecución o revisión manual; el código no demuestra el cierre.</x:v>
      </x:c>
    </x:row>
    <x:row r="130" ht="40" customHeight="1">
      <x:c r="A130" s="6" t="n">
        <x:v>130</x:v>
      </x:c>
      <x:c r="B130" s="7" t="str">
        <x:v>Crear página `DashboardAdmin` con sistema de grilla (CSS Grid/Tailwind).</x:v>
      </x:c>
      <x:c r="C130" s="6" t="str">
        <x:v>nmartinez2024</x:v>
      </x:c>
      <x:c r="D130" s="6" t="str">
        <x:v>Semana 8</x:v>
      </x:c>
      <x:c r="E130" s="6" t="str">
        <x:v>50m</x:v>
      </x:c>
      <x:c r="F130" s="6" t="str">
        <x:v>Fuera del alcance Sprint 2</x:v>
      </x:c>
      <x:c r="G130" s="6" t="str">
        <x:v>Diferir a backlog posterior</x:v>
      </x:c>
      <x:c r="H130" s="7" t="str">
        <x:v>Corresponde a FEFO, DTE, compras, devoluciones parciales o analytics; excede las cinco metas y la capacidad.</x:v>
      </x:c>
      <x:c r="I130" s="6" t="str">
        <x:v>docs/context/estado-actual.md; docs/context/planificacion/roadmap.md; inspección estática del código</x:v>
      </x:c>
    </x:row>
    <x:row r="131" ht="40" customHeight="1">
      <x:c r="A131" s="6" t="n">
        <x:v>131</x:v>
      </x:c>
      <x:c r="B131" s="7" t="str">
        <x:v>Widgets superiores: Tarjetas de "Ventas Totales" y "Ticket Promedio" conectados a MS-7.</x:v>
      </x:c>
      <x:c r="C131" s="6" t="str">
        <x:v>nmartinez2024</x:v>
      </x:c>
      <x:c r="D131" s="6" t="str">
        <x:v>Semana 8</x:v>
      </x:c>
      <x:c r="E131" s="6" t="str">
        <x:v>40m</x:v>
      </x:c>
      <x:c r="F131" s="6" t="str">
        <x:v>Fuera del alcance Sprint 2</x:v>
      </x:c>
      <x:c r="G131" s="6" t="str">
        <x:v>Diferir a backlog posterior</x:v>
      </x:c>
      <x:c r="H131" s="7" t="str">
        <x:v>Corresponde a FEFO, DTE, compras, devoluciones parciales o analytics; excede las cinco metas y la capacidad.</x:v>
      </x:c>
      <x:c r="I131" s="6" t="str">
        <x:v>docs/context/estado-actual.md; docs/context/planificacion/roadmap.md; inspección estática del código</x:v>
      </x:c>
    </x:row>
    <x:row r="132" ht="40" customHeight="1">
      <x:c r="A132" s="6" t="n">
        <x:v>132</x:v>
      </x:c>
      <x:c r="B132" s="7" t="str">
        <x:v>Gráfico de barras simple (HTML/CSS o librería ligera) para Top Productos.</x:v>
      </x:c>
      <x:c r="C132" s="6" t="str">
        <x:v>nmartinez2024</x:v>
      </x:c>
      <x:c r="D132" s="6" t="str">
        <x:v>Semana 8</x:v>
      </x:c>
      <x:c r="E132" s="6" t="str">
        <x:v>60m</x:v>
      </x:c>
      <x:c r="F132" s="6" t="str">
        <x:v>Fuera del alcance Sprint 2</x:v>
      </x:c>
      <x:c r="G132" s="6" t="str">
        <x:v>Diferir a backlog posterior</x:v>
      </x:c>
      <x:c r="H132" s="7" t="str">
        <x:v>Corresponde a FEFO, DTE, compras, devoluciones parciales o analytics; excede las cinco metas y la capacidad.</x:v>
      </x:c>
      <x:c r="I132" s="6" t="str">
        <x:v>docs/context/estado-actual.md; docs/context/planificacion/roadmap.md; inspección estática del código</x:v>
      </x:c>
    </x:row>
    <x:row r="133" ht="40" customHeight="1">
      <x:c r="A133" s="6" t="n">
        <x:v>133</x:v>
      </x:c>
      <x:c r="B133" s="7" t="str">
        <x:v>Panel lateral de "Alertas Críticas" conectado a `GET /alertas`.</x:v>
      </x:c>
      <x:c r="C133" s="6" t="str">
        <x:v>nmartinez2024</x:v>
      </x:c>
      <x:c r="D133" s="6" t="str">
        <x:v>Semana 8</x:v>
      </x:c>
      <x:c r="E133" s="6" t="str">
        <x:v>50m</x:v>
      </x:c>
      <x:c r="F133" s="6" t="str">
        <x:v>Fuera del alcance Sprint 2</x:v>
      </x:c>
      <x:c r="G133" s="6" t="str">
        <x:v>Diferir a backlog posterior</x:v>
      </x:c>
      <x:c r="H133" s="7" t="str">
        <x:v>Corresponde a FEFO, DTE, compras, devoluciones parciales o analytics; excede las cinco metas y la capacidad.</x:v>
      </x:c>
      <x:c r="I133" s="6" t="str">
        <x:v>docs/context/estado-actual.md; docs/context/planificacion/roadmap.md; inspección estática del código</x:v>
      </x:c>
    </x:row>
    <x:row r="134" ht="40" customHeight="1">
      <x:c r="A134" s="6" t="n">
        <x:v>134</x:v>
      </x:c>
      <x:c r="B134" s="7" t="str">
        <x:v>UI: Diferenciar visualmente alertas de Stock (Amarillo) y Vencimiento (Rojo).</x:v>
      </x:c>
      <x:c r="C134" s="6" t="str">
        <x:v>nmartinez2024</x:v>
      </x:c>
      <x:c r="D134" s="6" t="str">
        <x:v>Semana 8</x:v>
      </x:c>
      <x:c r="E134" s="6" t="str">
        <x:v>40m</x:v>
      </x:c>
      <x:c r="F134" s="6" t="str">
        <x:v>Fuera del alcance Sprint 2</x:v>
      </x:c>
      <x:c r="G134" s="6" t="str">
        <x:v>Diferir a backlog posterior</x:v>
      </x:c>
      <x:c r="H134" s="7" t="str">
        <x:v>Corresponde a FEFO, DTE, compras, devoluciones parciales o analytics; excede las cinco metas y la capacidad.</x:v>
      </x:c>
      <x:c r="I134" s="6" t="str">
        <x:v>docs/context/estado-actual.md; docs/context/planificacion/roadmap.md; inspección estática del código</x:v>
      </x:c>
    </x:row>
    <x:row r="135" ht="40" customHeight="1">
      <x:c r="A135" s="6" t="n">
        <x:v>135</x:v>
      </x:c>
      <x:c r="B135" s="7" t="str">
        <x:v>Botón en widget para resolver alertas.</x:v>
      </x:c>
      <x:c r="C135" s="6" t="str">
        <x:v>nmartinez2024</x:v>
      </x:c>
      <x:c r="D135" s="6" t="str">
        <x:v>Semana 8</x:v>
      </x:c>
      <x:c r="E135" s="6" t="str">
        <x:v>40m</x:v>
      </x:c>
      <x:c r="F135" s="6" t="str">
        <x:v>Fuera del alcance Sprint 2</x:v>
      </x:c>
      <x:c r="G135" s="6" t="str">
        <x:v>Diferir a backlog posterior</x:v>
      </x:c>
      <x:c r="H135" s="7" t="str">
        <x:v>Corresponde a FEFO, DTE, compras, devoluciones parciales o analytics; excede las cinco metas y la capacidad.</x:v>
      </x:c>
      <x:c r="I135" s="6" t="str">
        <x:v>docs/context/estado-actual.md; docs/context/planificacion/roadmap.md; inspección estática del código</x:v>
      </x:c>
    </x:row>
    <x:row r="136" ht="40" customHeight="1">
      <x:c r="A136" s="6" t="n">
        <x:v>136</x:v>
      </x:c>
      <x:c r="B136" s="7" t="str">
        <x:v>Sistema de "Refresco automático" (polling ligero cada 60s) en Dashboard.</x:v>
      </x:c>
      <x:c r="C136" s="6" t="str">
        <x:v>nmartinez2024</x:v>
      </x:c>
      <x:c r="D136" s="6" t="str">
        <x:v>Semana 8</x:v>
      </x:c>
      <x:c r="E136" s="6" t="str">
        <x:v>20m</x:v>
      </x:c>
      <x:c r="F136" s="6" t="str">
        <x:v>Fuera del alcance Sprint 2</x:v>
      </x:c>
      <x:c r="G136" s="6" t="str">
        <x:v>Diferir a backlog posterior</x:v>
      </x:c>
      <x:c r="H136" s="7" t="str">
        <x:v>Corresponde a FEFO, DTE, compras, devoluciones parciales o analytics; excede las cinco metas y la capacidad.</x:v>
      </x:c>
      <x:c r="I136" s="6" t="str">
        <x:v>docs/context/estado-actual.md; docs/context/planificacion/roadmap.md; inspección estática del código</x:v>
      </x:c>
    </x:row>
    <x:row r="137" ht="40" customHeight="1">
      <x:c r="A137" s="6" t="n">
        <x:v>137</x:v>
      </x:c>
      <x:c r="B137" s="7" t="str">
        <x:v>MS-2: Crear Consumer Kafka escuchando el evento `sale.completed` de MS-5.</x:v>
      </x:c>
      <x:c r="C137" s="6" t="str">
        <x:v>admin</x:v>
      </x:c>
      <x:c r="D137" s="6" t="str">
        <x:v>Semana 8</x:v>
      </x:c>
      <x:c r="E137" s="6" t="str">
        <x:v>50m</x:v>
      </x:c>
      <x:c r="F137" s="6" t="str">
        <x:v>Fuera del alcance Sprint 2</x:v>
      </x:c>
      <x:c r="G137" s="6" t="str">
        <x:v>Diferir a backlog posterior</x:v>
      </x:c>
      <x:c r="H137" s="7" t="str">
        <x:v>Corresponde a FEFO, DTE, compras, devoluciones parciales o analytics; excede las cinco metas y la capacidad.</x:v>
      </x:c>
      <x:c r="I137" s="6" t="str">
        <x:v>docs/context/estado-actual.md; docs/context/planificacion/roadmap.md; inspección estática del código</x:v>
      </x:c>
    </x:row>
    <x:row r="138" ht="40" customHeight="1">
      <x:c r="A138" s="6" t="n">
        <x:v>138</x:v>
      </x:c>
      <x:c r="B138" s="7" t="str">
        <x:v>MS-2: Dentro del consumer, extraer payload, llamar internamente a `DteXmlGeneratorService`.</x:v>
      </x:c>
      <x:c r="C138" s="6" t="str">
        <x:v>admin</x:v>
      </x:c>
      <x:c r="D138" s="6" t="str">
        <x:v>Semana 8</x:v>
      </x:c>
      <x:c r="E138" s="6" t="str">
        <x:v>60m</x:v>
      </x:c>
      <x:c r="F138" s="6" t="str">
        <x:v>Fuera del alcance Sprint 2</x:v>
      </x:c>
      <x:c r="G138" s="6" t="str">
        <x:v>Diferir a backlog posterior</x:v>
      </x:c>
      <x:c r="H138" s="7" t="str">
        <x:v>Corresponde a FEFO, DTE, compras, devoluciones parciales o analytics; excede las cinco metas y la capacidad.</x:v>
      </x:c>
      <x:c r="I138" s="6" t="str">
        <x:v>docs/context/estado-actual.md; docs/context/planificacion/roadmap.md; inspección estática del código</x:v>
      </x:c>
    </x:row>
    <x:row r="139" ht="40" customHeight="1">
      <x:c r="A139" s="6" t="n">
        <x:v>139</x:v>
      </x:c>
      <x:c r="B139" s="7" t="str">
        <x:v>MS-2: Emitir al SIIClient automáticamente tras procesar el XML en background.</x:v>
      </x:c>
      <x:c r="C139" s="6" t="str">
        <x:v>admin</x:v>
      </x:c>
      <x:c r="D139" s="6" t="str">
        <x:v>Semana 8</x:v>
      </x:c>
      <x:c r="E139" s="6" t="str">
        <x:v>60m</x:v>
      </x:c>
      <x:c r="F139" s="6" t="str">
        <x:v>Fuera del alcance Sprint 2</x:v>
      </x:c>
      <x:c r="G139" s="6" t="str">
        <x:v>Diferir a backlog posterior</x:v>
      </x:c>
      <x:c r="H139" s="7" t="str">
        <x:v>Corresponde a FEFO, DTE, compras, devoluciones parciales o analytics; excede las cinco metas y la capacidad.</x:v>
      </x:c>
      <x:c r="I139" s="6" t="str">
        <x:v>docs/context/estado-actual.md; docs/context/planificacion/roadmap.md; inspección estática del código</x:v>
      </x:c>
    </x:row>
    <x:row r="140" ht="40" customHeight="1">
      <x:c r="A140" s="6" t="n">
        <x:v>140</x:v>
      </x:c>
      <x:c r="B140" s="7" t="str">
        <x:v>MS-2: Vincular el `DocumentoTributario` creado con el `venta_id` del evento.</x:v>
      </x:c>
      <x:c r="C140" s="6" t="str">
        <x:v>admin</x:v>
      </x:c>
      <x:c r="D140" s="6" t="str">
        <x:v>Semana 8</x:v>
      </x:c>
      <x:c r="E140" s="6" t="str">
        <x:v>40m</x:v>
      </x:c>
      <x:c r="F140" s="6" t="str">
        <x:v>Fuera del alcance Sprint 2</x:v>
      </x:c>
      <x:c r="G140" s="6" t="str">
        <x:v>Diferir a backlog posterior</x:v>
      </x:c>
      <x:c r="H140" s="7" t="str">
        <x:v>Corresponde a FEFO, DTE, compras, devoluciones parciales o analytics; excede las cinco metas y la capacidad.</x:v>
      </x:c>
      <x:c r="I140" s="6" t="str">
        <x:v>docs/context/estado-actual.md; docs/context/planificacion/roadmap.md; inspección estática del código</x:v>
      </x:c>
    </x:row>
    <x:row r="141" ht="40" customHeight="1">
      <x:c r="A141" s="6" t="n">
        <x:v>141</x:v>
      </x:c>
      <x:c r="B141" s="7" t="str">
        <x:v>MS-5: Modificar `GET /ventas/{id}` para consultar a MS-2 y anexar el folio del DTE al ticket.</x:v>
      </x:c>
      <x:c r="C141" s="6" t="str">
        <x:v>admin</x:v>
      </x:c>
      <x:c r="D141" s="6" t="str">
        <x:v>Semana 8</x:v>
      </x:c>
      <x:c r="E141" s="6" t="str">
        <x:v>50m</x:v>
      </x:c>
      <x:c r="F141" s="6" t="str">
        <x:v>Fuera del alcance Sprint 2</x:v>
      </x:c>
      <x:c r="G141" s="6" t="str">
        <x:v>Diferir a backlog posterior</x:v>
      </x:c>
      <x:c r="H141" s="7" t="str">
        <x:v>Corresponde a FEFO, DTE, compras, devoluciones parciales o analytics; excede las cinco metas y la capacidad.</x:v>
      </x:c>
      <x:c r="I141" s="6" t="str">
        <x:v>docs/context/estado-actual.md; docs/context/planificacion/roadmap.md; inspección estática del código</x:v>
      </x:c>
    </x:row>
    <x:row r="142" ht="40" customHeight="1">
      <x:c r="A142" s="6" t="n">
        <x:v>142</x:v>
      </x:c>
      <x:c r="B142" s="7" t="str">
        <x:v>Pruebas de integración entre MS-5 y MS-2 vía Kafka.</x:v>
      </x:c>
      <x:c r="C142" s="6" t="str">
        <x:v>admin</x:v>
      </x:c>
      <x:c r="D142" s="6" t="str">
        <x:v>Semana 8</x:v>
      </x:c>
      <x:c r="E142" s="6" t="str">
        <x:v>40m</x:v>
      </x:c>
      <x:c r="F142" s="6" t="str">
        <x:v>No verificada</x:v>
      </x:c>
      <x:c r="G142" s="6" t="str">
        <x:v>No contar como completada</x:v>
      </x:c>
      <x:c r="H142" s="7" t="str">
        <x:v>La tarea pide prueba manual o evidencia de ejecución no disponible en el repositorio.</x:v>
      </x:c>
      <x:c r="I142" s="6" t="str">
        <x:v>[NO VERIFICADO] requiere registro de ejecución o revisión manual; el código no demuestra el cierre.</x:v>
      </x:c>
    </x:row>
    <x:row r="143" ht="40" customHeight="1">
      <x:c r="A143" s="6" t="n">
        <x:v>143</x:v>
      </x:c>
      <x:c r="B143" s="7" t="str">
        <x:v>Restricción Navbar: Ocultar acceso a Administración si `active_role` del JWT es `CAJERO`.</x:v>
      </x:c>
      <x:c r="C143" s="6" t="str">
        <x:v>dprado2024</x:v>
      </x:c>
      <x:c r="D143" s="6" t="str">
        <x:v>Semana 8</x:v>
      </x:c>
      <x:c r="E143" s="6" t="str">
        <x:v>50m</x:v>
      </x:c>
      <x:c r="F143" s="6" t="str">
        <x:v>Parcial</x:v>
      </x:c>
      <x:c r="G143" s="6" t="str">
        <x:v>Completar o corregir</x:v>
      </x:c>
      <x:c r="H143" s="7" t="str">
        <x:v>Existe base funcional, pero faltan acciones o falla la comprobación de tipos/alcance.</x:v>
      </x:c>
      <x:c r="I143" s="6" t="str">
        <x:v>docs/context/estado-actual.md; docs/context/planificacion/roadmap.md; inspección estática del código</x:v>
      </x:c>
    </x:row>
    <x:row r="144" ht="40" customHeight="1">
      <x:c r="A144" s="6" t="n">
        <x:v>144</x:v>
      </x:c>
      <x:c r="B144" s="7" t="str">
        <x:v>Implementar sistema de Notificaciones globales (Toasts) para feedback de UX (ej. Venta Exitosa).</x:v>
      </x:c>
      <x:c r="C144" s="6" t="str">
        <x:v>dprado2024</x:v>
      </x:c>
      <x:c r="D144" s="6" t="str">
        <x:v>Semana 8</x:v>
      </x:c>
      <x:c r="E144" s="6" t="str">
        <x:v>60m</x:v>
      </x:c>
      <x:c r="F144" s="6" t="str">
        <x:v>Pendiente y alineada</x:v>
      </x:c>
      <x:c r="G144" s="6" t="str">
        <x:v>Replanificar en tareas nuevas</x:v>
      </x:c>
      <x:c r="H144" s="7" t="str">
        <x:v>La necesidad sigue vigente para Admin, POS, pagos o simuladores.</x:v>
      </x:c>
      <x:c r="I144" s="6" t="str">
        <x:v>docs/context/estado-actual.md; docs/context/planificacion/roadmap.md; inspección estática del código</x:v>
      </x:c>
    </x:row>
    <x:row r="145" ht="40" customHeight="1">
      <x:c r="A145" s="6" t="n">
        <x:v>145</x:v>
      </x:c>
      <x:c r="B145" s="7" t="str">
        <x:v>Mejorar spinners en modales pesados (pasarela tarjeta).</x:v>
      </x:c>
      <x:c r="C145" s="6" t="str">
        <x:v>dprado2024</x:v>
      </x:c>
      <x:c r="D145" s="6" t="str">
        <x:v>Semana 8</x:v>
      </x:c>
      <x:c r="E145" s="6" t="str">
        <x:v>40m</x:v>
      </x:c>
      <x:c r="F145" s="6" t="str">
        <x:v>Pendiente y alineada</x:v>
      </x:c>
      <x:c r="G145" s="6" t="str">
        <x:v>Replanificar en tareas nuevas</x:v>
      </x:c>
      <x:c r="H145" s="7" t="str">
        <x:v>La necesidad sigue vigente para Admin, POS, pagos o simuladores.</x:v>
      </x:c>
      <x:c r="I145" s="6" t="str">
        <x:v>docs/context/estado-actual.md; docs/context/planificacion/roadmap.md; inspección estática del código</x:v>
      </x:c>
    </x:row>
    <x:row r="146" ht="40" customHeight="1">
      <x:c r="A146" s="6" t="n">
        <x:v>146</x:v>
      </x:c>
      <x:c r="B146" s="7" t="str">
        <x:v>Refinar diseño UI: Estandarizar bordes, sombras y el fondo Dark Theme Premium.</x:v>
      </x:c>
      <x:c r="C146" s="6" t="str">
        <x:v>dprado2024</x:v>
      </x:c>
      <x:c r="D146" s="6" t="str">
        <x:v>Semana 8</x:v>
      </x:c>
      <x:c r="E146" s="6" t="str">
        <x:v>50m</x:v>
      </x:c>
      <x:c r="F146" s="6" t="str">
        <x:v>Parcial</x:v>
      </x:c>
      <x:c r="G146" s="6" t="str">
        <x:v>Completar o corregir</x:v>
      </x:c>
      <x:c r="H146" s="7" t="str">
        <x:v>Existe base funcional, pero faltan acciones o falla la comprobación de tipos/alcance.</x:v>
      </x:c>
      <x:c r="I146" s="6" t="str">
        <x:v>docs/context/estado-actual.md; docs/context/planificacion/roadmap.md; inspección estática del código</x:v>
      </x:c>
    </x:row>
    <x:row r="147" ht="40" customHeight="1">
      <x:c r="A147" s="6" t="n">
        <x:v>147</x:v>
      </x:c>
      <x:c r="B147" s="7" t="str">
        <x:v>Estandarizar formateo de montos (`Intl.NumberFormat`) en todas las tablas.</x:v>
      </x:c>
      <x:c r="C147" s="6" t="str">
        <x:v>dprado2024</x:v>
      </x:c>
      <x:c r="D147" s="6" t="str">
        <x:v>Semana 8</x:v>
      </x:c>
      <x:c r="E147" s="6" t="str">
        <x:v>40m</x:v>
      </x:c>
      <x:c r="F147" s="6" t="str">
        <x:v>Parcial</x:v>
      </x:c>
      <x:c r="G147" s="6" t="str">
        <x:v>Completar o corregir</x:v>
      </x:c>
      <x:c r="H147" s="7" t="str">
        <x:v>Existe base funcional, pero faltan acciones o falla la comprobación de tipos/alcance.</x:v>
      </x:c>
      <x:c r="I147" s="6" t="str">
        <x:v>docs/context/estado-actual.md; docs/context/planificacion/roadmap.md; inspección estática del código</x:v>
      </x:c>
    </x:row>
    <x:row r="148" ht="40" customHeight="1">
      <x:c r="A148" s="6" t="n">
        <x:v>148</x:v>
      </x:c>
      <x:c r="B148" s="7" t="str">
        <x:v>Revisión general de consola del navegador y limpiar warnings de React.</x:v>
      </x:c>
      <x:c r="C148" s="6" t="str">
        <x:v>dprado2024</x:v>
      </x:c>
      <x:c r="D148" s="6" t="str">
        <x:v>Semana 8</x:v>
      </x:c>
      <x:c r="E148" s="6" t="str">
        <x:v>60m</x:v>
      </x:c>
      <x:c r="F148" s="6" t="str">
        <x:v>Parcial</x:v>
      </x:c>
      <x:c r="G148" s="6" t="str">
        <x:v>Completar o corregir</x:v>
      </x:c>
      <x:c r="H148" s="7" t="str">
        <x:v>Existe base funcional, pero faltan acciones o falla la comprobación de tipos/alcance.</x:v>
      </x:c>
      <x:c r="I148" s="6" t="str">
        <x:v>docs/context/estado-actual.md; docs/context/planificacion/roadmap.md; inspección estática del código</x:v>
      </x:c>
    </x:row>
    <x:row r="149" ht="40" customHeight="1">
      <x:c r="A149" s="6" t="n">
        <x:v>149</x:v>
      </x:c>
      <x:c r="B149" s="7" t="str">
        <x:v>MS-6: Al marcar OC como RECIBIDA, publicar evento Kafka `purchase.received` con items y Landed Cost.</x:v>
      </x:c>
      <x:c r="C149" s="6" t="str">
        <x:v>dleiva2024</x:v>
      </x:c>
      <x:c r="D149" s="6" t="str">
        <x:v>Semana 8</x:v>
      </x:c>
      <x:c r="E149" s="6" t="str">
        <x:v>40m</x:v>
      </x:c>
      <x:c r="F149" s="6" t="str">
        <x:v>Fuera del alcance Sprint 2</x:v>
      </x:c>
      <x:c r="G149" s="6" t="str">
        <x:v>Diferir a backlog posterior</x:v>
      </x:c>
      <x:c r="H149" s="7" t="str">
        <x:v>Corresponde a FEFO, DTE, compras, devoluciones parciales o analytics; excede las cinco metas y la capacidad.</x:v>
      </x:c>
      <x:c r="I149" s="6" t="str">
        <x:v>docs/context/estado-actual.md; docs/context/planificacion/roadmap.md; inspección estática del código</x:v>
      </x:c>
    </x:row>
    <x:row r="150" ht="40" customHeight="1">
      <x:c r="A150" s="6" t="n">
        <x:v>150</x:v>
      </x:c>
      <x:c r="B150" s="7" t="str">
        <x:v>MS-4: Crear Consumer Kafka para `purchase.received`.</x:v>
      </x:c>
      <x:c r="C150" s="6" t="str">
        <x:v>dleiva2024</x:v>
      </x:c>
      <x:c r="D150" s="6" t="str">
        <x:v>Semana 8</x:v>
      </x:c>
      <x:c r="E150" s="6" t="str">
        <x:v>50m</x:v>
      </x:c>
      <x:c r="F150" s="6" t="str">
        <x:v>Fuera del alcance Sprint 2</x:v>
      </x:c>
      <x:c r="G150" s="6" t="str">
        <x:v>Diferir a backlog posterior</x:v>
      </x:c>
      <x:c r="H150" s="7" t="str">
        <x:v>Corresponde a FEFO, DTE, compras, devoluciones parciales o analytics; excede las cinco metas y la capacidad.</x:v>
      </x:c>
      <x:c r="I150" s="6" t="str">
        <x:v>docs/context/estado-actual.md; docs/context/planificacion/roadmap.md; inspección estática del código</x:v>
      </x:c>
    </x:row>
    <x:row r="151" ht="40" customHeight="1">
      <x:c r="A151" s="6" t="n">
        <x:v>151</x:v>
      </x:c>
      <x:c r="B151" s="7" t="str">
        <x:v>Lógica MS-4: Por cada item recibido, crear un nuevo `Lote` con el stock físico.</x:v>
      </x:c>
      <x:c r="C151" s="6" t="str">
        <x:v>dleiva2024</x:v>
      </x:c>
      <x:c r="D151" s="6" t="str">
        <x:v>Semana 8</x:v>
      </x:c>
      <x:c r="E151" s="6" t="str">
        <x:v>60m</x:v>
      </x:c>
      <x:c r="F151" s="6" t="str">
        <x:v>Fuera del alcance Sprint 2</x:v>
      </x:c>
      <x:c r="G151" s="6" t="str">
        <x:v>Diferir a backlog posterior</x:v>
      </x:c>
      <x:c r="H151" s="7" t="str">
        <x:v>Corresponde a FEFO, DTE, compras, devoluciones parciales o analytics; excede las cinco metas y la capacidad.</x:v>
      </x:c>
      <x:c r="I151" s="6" t="str">
        <x:v>docs/context/estado-actual.md; docs/context/planificacion/roadmap.md; inspección estática del código</x:v>
      </x:c>
    </x:row>
    <x:row r="152" ht="40" customHeight="1">
      <x:c r="A152" s="6" t="n">
        <x:v>152</x:v>
      </x:c>
      <x:c r="B152" s="7" t="str">
        <x:v>Calcular `fecha_vencimiento` por default según reglas o fecha actual + X días si no se provee.</x:v>
      </x:c>
      <x:c r="C152" s="6" t="str">
        <x:v>dleiva2024</x:v>
      </x:c>
      <x:c r="D152" s="6" t="str">
        <x:v>Semana 8</x:v>
      </x:c>
      <x:c r="E152" s="6" t="str">
        <x:v>40m</x:v>
      </x:c>
      <x:c r="F152" s="6" t="str">
        <x:v>Reformular</x:v>
      </x:c>
      <x:c r="G152" s="6" t="str">
        <x:v>Reemplazar por tarea acotada</x:v>
      </x:c>
      <x:c r="H152" s="7" t="str">
        <x:v>El endpoint, dependencia o alcance supuesto no coincide con el código o las cinco metas.</x:v>
      </x:c>
      <x:c r="I152" s="6" t="str">
        <x:v>docs/context/estado-actual.md; docs/context/planificacion/roadmap.md; inspección estática del código</x:v>
      </x:c>
    </x:row>
    <x:row r="153" ht="40" customHeight="1">
      <x:c r="A153" s="6" t="n">
        <x:v>153</x:v>
      </x:c>
      <x:c r="B153" s="7" t="str">
        <x:v>Registrar evento histórico en tabla de trazabilidad de inventario (ingreso por proveedor).</x:v>
      </x:c>
      <x:c r="C153" s="6" t="str">
        <x:v>dleiva2024</x:v>
      </x:c>
      <x:c r="D153" s="6" t="str">
        <x:v>Semana 8</x:v>
      </x:c>
      <x:c r="E153" s="6" t="str">
        <x:v>50m</x:v>
      </x:c>
      <x:c r="F153" s="6" t="str">
        <x:v>Fuera del alcance Sprint 2</x:v>
      </x:c>
      <x:c r="G153" s="6" t="str">
        <x:v>Diferir a backlog posterior</x:v>
      </x:c>
      <x:c r="H153" s="7" t="str">
        <x:v>Corresponde a FEFO, DTE, compras, devoluciones parciales o analytics; excede las cinco metas y la capacidad.</x:v>
      </x:c>
      <x:c r="I153" s="6" t="str">
        <x:v>docs/context/estado-actual.md; docs/context/planificacion/roadmap.md; inspección estática del código</x:v>
      </x:c>
    </x:row>
    <x:row r="154" ht="40" customHeight="1">
      <x:c r="A154" s="6" t="n">
        <x:v>154</x:v>
      </x:c>
      <x:c r="B154" s="7" t="str">
        <x:v>Pruebas E2E Backend: Confirmar que recepcionar una OC aumenta el stock físico.</x:v>
      </x:c>
      <x:c r="C154" s="6" t="str">
        <x:v>dleiva2024</x:v>
      </x:c>
      <x:c r="D154" s="6" t="str">
        <x:v>Semana 8</x:v>
      </x:c>
      <x:c r="E154" s="6" t="str">
        <x:v>60m</x:v>
      </x:c>
      <x:c r="F154" s="6" t="str">
        <x:v>No verificada</x:v>
      </x:c>
      <x:c r="G154" s="6" t="str">
        <x:v>No contar como completada</x:v>
      </x:c>
      <x:c r="H154" s="7" t="str">
        <x:v>La tarea pide prueba manual o evidencia de ejecución no disponible en el repositorio.</x:v>
      </x:c>
      <x:c r="I154" s="6" t="str">
        <x:v>[NO VERIFICADO] requiere registro de ejecución o revisión manual; el código no demuestra el cierre.</x:v>
      </x:c>
    </x:row>
    <x:row r="155" ht="40" customHeight="1">
      <x:c r="A155" s="6" t="n">
        <x:v>155</x:v>
      </x:c>
      <x:c r="B155" s="7" t="str">
        <x:v>Configurar suite de pruebas Playwright/Integration para abarcar MS-4, 5, 6 y 7.</x:v>
      </x:c>
      <x:c r="C155" s="6" t="str">
        <x:v>spereda2024</x:v>
      </x:c>
      <x:c r="D155" s="6" t="str">
        <x:v>Semana 8</x:v>
      </x:c>
      <x:c r="E155" s="6" t="str">
        <x:v>50m</x:v>
      </x:c>
      <x:c r="F155" s="6" t="str">
        <x:v>Reformular</x:v>
      </x:c>
      <x:c r="G155" s="6" t="str">
        <x:v>Reemplazar por tarea acotada</x:v>
      </x:c>
      <x:c r="H155" s="7" t="str">
        <x:v>El endpoint, dependencia o alcance supuesto no coincide con el código o las cinco metas.</x:v>
      </x:c>
      <x:c r="I155" s="6" t="str">
        <x:v>docs/context/estado-actual.md; docs/context/planificacion/roadmap.md; inspección estática del código</x:v>
      </x:c>
    </x:row>
    <x:row r="156" ht="40" customHeight="1">
      <x:c r="A156" s="6" t="n">
        <x:v>156</x:v>
      </x:c>
      <x:c r="B156" s="7" t="str">
        <x:v>Test: Flujo reposición (Crear OC -&gt; Landed Cost -&gt; Recibir -&gt; Verificar Lote en MS-4).</x:v>
      </x:c>
      <x:c r="C156" s="6" t="str">
        <x:v>spereda2024</x:v>
      </x:c>
      <x:c r="D156" s="6" t="str">
        <x:v>Semana 8</x:v>
      </x:c>
      <x:c r="E156" s="6" t="str">
        <x:v>60m</x:v>
      </x:c>
      <x:c r="F156" s="6" t="str">
        <x:v>Reformular</x:v>
      </x:c>
      <x:c r="G156" s="6" t="str">
        <x:v>Reemplazar por tarea acotada</x:v>
      </x:c>
      <x:c r="H156" s="7" t="str">
        <x:v>El endpoint, dependencia o alcance supuesto no coincide con el código o las cinco metas.</x:v>
      </x:c>
      <x:c r="I156" s="6" t="str">
        <x:v>docs/context/estado-actual.md; docs/context/planificacion/roadmap.md; inspección estática del código</x:v>
      </x:c>
    </x:row>
    <x:row r="157" ht="40" customHeight="1">
      <x:c r="A157" s="6" t="n">
        <x:v>157</x:v>
      </x:c>
      <x:c r="B157" s="7" t="str">
        <x:v>Test: Flujo POS (Abrir turno -&gt; Venta mixta -&gt; Verificar DTE asíncrono emitido).</x:v>
      </x:c>
      <x:c r="C157" s="6" t="str">
        <x:v>spereda2024</x:v>
      </x:c>
      <x:c r="D157" s="6" t="str">
        <x:v>Semana 8</x:v>
      </x:c>
      <x:c r="E157" s="6" t="str">
        <x:v>60m</x:v>
      </x:c>
      <x:c r="F157" s="6" t="str">
        <x:v>Reformular</x:v>
      </x:c>
      <x:c r="G157" s="6" t="str">
        <x:v>Reemplazar por tarea acotada</x:v>
      </x:c>
      <x:c r="H157" s="7" t="str">
        <x:v>El endpoint, dependencia o alcance supuesto no coincide con el código o las cinco metas.</x:v>
      </x:c>
      <x:c r="I157" s="6" t="str">
        <x:v>docs/context/estado-actual.md; docs/context/planificacion/roadmap.md; inspección estática del código</x:v>
      </x:c>
    </x:row>
    <x:row r="158" ht="40" customHeight="1">
      <x:c r="A158" s="6" t="n">
        <x:v>158</x:v>
      </x:c>
      <x:c r="B158" s="7" t="str">
        <x:v>Test: Verificar que el FEFO descuenta del lote correcto y agota el más antiguo.</x:v>
      </x:c>
      <x:c r="C158" s="6" t="str">
        <x:v>spereda2024</x:v>
      </x:c>
      <x:c r="D158" s="6" t="str">
        <x:v>Semana 8</x:v>
      </x:c>
      <x:c r="E158" s="6" t="str">
        <x:v>40m</x:v>
      </x:c>
      <x:c r="F158" s="6" t="str">
        <x:v>Reformular</x:v>
      </x:c>
      <x:c r="G158" s="6" t="str">
        <x:v>Reemplazar por tarea acotada</x:v>
      </x:c>
      <x:c r="H158" s="7" t="str">
        <x:v>El endpoint, dependencia o alcance supuesto no coincide con el código o las cinco metas.</x:v>
      </x:c>
      <x:c r="I158" s="6" t="str">
        <x:v>docs/context/estado-actual.md; docs/context/planificacion/roadmap.md; inspección estática del código</x:v>
      </x:c>
    </x:row>
    <x:row r="159" ht="40" customHeight="1">
      <x:c r="A159" s="6" t="n">
        <x:v>159</x:v>
      </x:c>
      <x:c r="B159" s="7" t="str">
        <x:v>Test: Forzar error en pasarela y validar que la venta no se completa ni descuenta stock.</x:v>
      </x:c>
      <x:c r="C159" s="6" t="str">
        <x:v>spereda2024</x:v>
      </x:c>
      <x:c r="D159" s="6" t="str">
        <x:v>Semana 8</x:v>
      </x:c>
      <x:c r="E159" s="6" t="str">
        <x:v>50m</x:v>
      </x:c>
      <x:c r="F159" s="6" t="str">
        <x:v>Reformular</x:v>
      </x:c>
      <x:c r="G159" s="6" t="str">
        <x:v>Reemplazar por tarea acotada</x:v>
      </x:c>
      <x:c r="H159" s="7" t="str">
        <x:v>El endpoint, dependencia o alcance supuesto no coincide con el código o las cinco metas.</x:v>
      </x:c>
      <x:c r="I159" s="6" t="str">
        <x:v>docs/context/estado-actual.md; docs/context/planificacion/roadmap.md; inspección estática del código</x:v>
      </x:c>
    </x:row>
    <x:row r="160" ht="40" customHeight="1">
      <x:c r="A160" s="6" t="n">
        <x:v>160</x:v>
      </x:c>
      <x:c r="B160" s="7" t="str">
        <x:v>Generar reporte formal de cobertura y cumplimiento del Goal del Sprint 2.</x:v>
      </x:c>
      <x:c r="C160" s="6" t="str">
        <x:v>spereda2024</x:v>
      </x:c>
      <x:c r="D160" s="6" t="str">
        <x:v>Semana 8</x:v>
      </x:c>
      <x:c r="E160" s="6" t="str">
        <x:v>40m</x:v>
      </x:c>
      <x:c r="F160" s="6" t="str">
        <x:v>No verificada</x:v>
      </x:c>
      <x:c r="G160" s="6" t="str">
        <x:v>No contar como completada</x:v>
      </x:c>
      <x:c r="H160" s="7" t="str">
        <x:v>La tarea pide prueba manual o evidencia de ejecución no disponible en el repositorio.</x:v>
      </x:c>
      <x:c r="I160" s="6" t="str">
        <x:v>[NO VERIFICADO] requiere registro de ejecución o revisión manual; el código no demuestra el cierre.</x:v>
      </x:c>
    </x:row>
  </x:sheetData>
  <x:pageMargins left="0.7" right="0.7" top="0.75" bottom="0.75" header="0.3" footer="0.3"/>
</x:worksheet>
</file>